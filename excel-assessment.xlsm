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176428E6-CC11-C334-683E-B6102A28F97D}"/>
  <workbookPr codeName="ThisWorkbook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FDC9488A-8094-4B73-9982-3A75206E9FFA}" xr6:coauthVersionLast="47" xr6:coauthVersionMax="47" xr10:uidLastSave="{00000000-0000-0000-0000-000000000000}"/>
  <bookViews>
    <workbookView xWindow="-108" yWindow="-108" windowWidth="23256" windowHeight="12456" tabRatio="849" activeTab="1" xr2:uid="{00000000-000D-0000-FFFF-FFFF00000000}"/>
  </bookViews>
  <sheets>
    <sheet name="Instructions" sheetId="22" r:id="rId1"/>
    <sheet name="Pivot Table" sheetId="23" r:id="rId2"/>
    <sheet name="Dataset" sheetId="1" r:id="rId3"/>
    <sheet name="Task_1" sheetId="15" r:id="rId4"/>
    <sheet name="Task_2" sheetId="18" r:id="rId5"/>
    <sheet name="Task_3" sheetId="16" r:id="rId6"/>
    <sheet name="Task_4" sheetId="19" r:id="rId7"/>
    <sheet name="Task_5" sheetId="20" r:id="rId8"/>
  </sheets>
  <definedNames>
    <definedName name="_xlnm._FilterDatabase" localSheetId="2" hidden="1">Dataset!$A$1:$Y$40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4" r:id="rId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4" i="20" l="1"/>
  <c r="E25" i="20"/>
  <c r="E26" i="20"/>
  <c r="E27" i="20"/>
  <c r="E28" i="20"/>
  <c r="E29" i="20"/>
  <c r="E30" i="20"/>
  <c r="E31" i="20"/>
  <c r="E32" i="20"/>
  <c r="E33" i="20"/>
  <c r="E34" i="20"/>
  <c r="E35" i="20"/>
  <c r="E23" i="20"/>
  <c r="B24" i="20"/>
  <c r="B25" i="20"/>
  <c r="B26" i="20"/>
  <c r="B27" i="20"/>
  <c r="B28" i="20"/>
  <c r="B29" i="20"/>
  <c r="B30" i="20"/>
  <c r="B31" i="20"/>
  <c r="B32" i="20"/>
  <c r="B33" i="20"/>
  <c r="B34" i="20"/>
  <c r="B35" i="20"/>
  <c r="B23" i="20"/>
  <c r="A23" i="20"/>
  <c r="A24" i="20"/>
  <c r="A25" i="20"/>
  <c r="A26" i="20"/>
  <c r="A27" i="20"/>
  <c r="A28" i="20"/>
  <c r="A29" i="20"/>
  <c r="A30" i="20"/>
  <c r="A31" i="20"/>
  <c r="A32" i="20"/>
  <c r="A33" i="20"/>
  <c r="A34" i="20"/>
  <c r="A35" i="20"/>
  <c r="C22" i="19"/>
  <c r="C30" i="18"/>
  <c r="D30" i="18"/>
  <c r="E30" i="18"/>
  <c r="F30" i="18"/>
  <c r="B30" i="18"/>
  <c r="C29" i="18"/>
  <c r="D29" i="18"/>
  <c r="E29" i="18"/>
  <c r="F29" i="18"/>
  <c r="B29" i="18"/>
  <c r="C28" i="18"/>
  <c r="D28" i="18"/>
  <c r="E28" i="18"/>
  <c r="F28" i="18"/>
  <c r="B28" i="18"/>
  <c r="F27" i="18"/>
  <c r="F7" i="18"/>
  <c r="F8" i="18"/>
  <c r="F9" i="18"/>
  <c r="F10" i="18"/>
  <c r="F11" i="18"/>
  <c r="F12" i="18"/>
  <c r="F13" i="18"/>
  <c r="F14" i="18"/>
  <c r="F15" i="18"/>
  <c r="F16" i="18"/>
  <c r="F17" i="18"/>
  <c r="F18" i="18"/>
  <c r="F19" i="18"/>
  <c r="F20" i="18"/>
  <c r="F21" i="18"/>
  <c r="F22" i="18"/>
  <c r="F23" i="18"/>
  <c r="F24" i="18"/>
  <c r="F25" i="18"/>
  <c r="F26"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7" i="18"/>
  <c r="B9" i="18"/>
  <c r="B10" i="18"/>
  <c r="B11" i="18"/>
  <c r="B12" i="18"/>
  <c r="B13" i="18"/>
  <c r="B14" i="18"/>
  <c r="B15" i="18"/>
  <c r="B16" i="18"/>
  <c r="B17" i="18"/>
  <c r="B18" i="18"/>
  <c r="B19" i="18"/>
  <c r="B20" i="18"/>
  <c r="B21" i="18"/>
  <c r="B22" i="18"/>
  <c r="B23" i="18"/>
  <c r="B24" i="18"/>
  <c r="B25" i="18"/>
  <c r="B26" i="18"/>
  <c r="B27" i="18"/>
  <c r="B6" i="18"/>
  <c r="H4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2" i="1"/>
</calcChain>
</file>

<file path=xl/sharedStrings.xml><?xml version="1.0" encoding="utf-8"?>
<sst xmlns="http://schemas.openxmlformats.org/spreadsheetml/2006/main" count="457" uniqueCount="195">
  <si>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</si>
  <si>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</si>
  <si>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</si>
  <si>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</si>
  <si>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</si>
  <si>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</si>
  <si>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</si>
  <si>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</si>
  <si>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</si>
  <si>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</si>
  <si>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</si>
  <si>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</si>
  <si>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</si>
  <si>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</si>
  <si>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</si>
  <si>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</si>
  <si>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</si>
  <si>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</si>
  <si>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</si>
  <si>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</si>
  <si>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</si>
  <si>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</si>
  <si>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</si>
  <si>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</si>
  <si>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</si>
  <si>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</si>
  <si>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</si>
  <si>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</si>
  <si>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</si>
  <si>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</si>
  <si>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</si>
  <si>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</si>
  <si>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</si>
  <si>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</si>
  <si>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</si>
  <si>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</si>
  <si>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</si>
  <si>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</si>
  <si>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</si>
  <si>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</si>
  <si>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</si>
  <si>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</si>
  <si>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</si>
  <si>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</si>
  <si>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</si>
  <si>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</si>
  <si>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</si>
  <si>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</si>
  <si>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</si>
  <si>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</si>
  <si>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</si>
  <si>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</si>
  <si>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</si>
  <si>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</si>
  <si>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</si>
  <si>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</si>
  <si>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</si>
  <si>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</si>
  <si>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</si>
  <si>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</si>
  <si>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</si>
  <si>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</si>
  <si>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</si>
  <si>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</si>
  <si>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</si>
  <si>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</si>
  <si>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</si>
  <si>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</si>
  <si>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</si>
  <si>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</si>
  <si>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</si>
  <si>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</si>
  <si>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</si>
  <si>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</si>
  <si>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</si>
  <si>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</si>
  <si>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</si>
  <si>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</si>
  <si>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</si>
  <si>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</si>
  <si>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</si>
  <si>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</si>
  <si>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</si>
  <si>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</si>
  <si>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</si>
  <si>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</si>
  <si>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</si>
  <si>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</si>
  <si>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</si>
  <si>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</si>
  <si>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</si>
  <si>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</si>
  <si>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</si>
  <si>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</si>
  <si>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</si>
  <si>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</si>
  <si>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</si>
  <si>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</si>
  <si>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</si>
  <si>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</si>
  <si>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value</t>
  </si>
  <si>
    <t>values</t>
  </si>
  <si>
    <t>Give the sum of all values greater than '20' in column H labelled 'car2'</t>
  </si>
  <si>
    <t>Please paste formula used here</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</si>
  <si>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</si>
  <si>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</si>
  <si>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</si>
  <si>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</si>
  <si>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</si>
  <si>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</si>
  <si>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</si>
  <si>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</si>
  <si>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</si>
  <si>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</si>
  <si>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</si>
  <si>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</si>
  <si>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</si>
  <si>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</si>
  <si>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</si>
  <si>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</si>
  <si>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</si>
  <si>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</si>
  <si>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</si>
  <si>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</si>
  <si>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</si>
  <si>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</si>
  <si>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</si>
  <si>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</si>
  <si>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</si>
  <si>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</si>
  <si>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</si>
  <si>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</si>
  <si>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</si>
  <si>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</si>
  <si>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</si>
  <si>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</si>
  <si>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</si>
  <si>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</si>
  <si>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</si>
  <si>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</si>
  <si>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</si>
  <si>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</si>
  <si>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</si>
  <si>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</si>
  <si>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</si>
  <si>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</si>
  <si>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</si>
  <si>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</si>
  <si>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</si>
  <si>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</si>
  <si>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</si>
  <si>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</si>
  <si>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</si>
  <si>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</si>
  <si>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</si>
  <si>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</si>
  <si>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</si>
  <si>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</si>
  <si>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</si>
  <si>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</si>
  <si>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</si>
  <si>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</si>
  <si>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</si>
  <si>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</si>
  <si>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</si>
  <si>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</si>
  <si>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</si>
  <si>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</si>
  <si>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</si>
  <si>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</si>
  <si>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</si>
  <si>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</si>
  <si>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</si>
  <si>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</si>
  <si>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</si>
  <si>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Filtered Date "YYYY-MM-DD"</t>
  </si>
  <si>
    <t>SUMIF(H2:H40,"&gt;20")</t>
  </si>
  <si>
    <t>The formula SUMIF(H2:H40,"&gt;20") sums all values in the range H2 to H40 that are greater than 20</t>
  </si>
  <si>
    <t>Row Labels</t>
  </si>
  <si>
    <t>(blank)</t>
  </si>
  <si>
    <t>Grand Total</t>
  </si>
  <si>
    <t>Sum of car1</t>
  </si>
  <si>
    <t>Sum of bus2</t>
  </si>
  <si>
    <t>Sum of rv3</t>
  </si>
  <si>
    <t>Sum of truck2</t>
  </si>
  <si>
    <t>Sum of taxi2</t>
  </si>
  <si>
    <t>I use the built-in functionality in Excel to separate combined values by selecting the required values, choosing the Text to Columns option, and using the delimited option to place the separated values in the desired cells.</t>
  </si>
  <si>
    <t>All 20 values must be substituted with the value '20'</t>
  </si>
  <si>
    <t>I replace all #N/A values with 20 in Excel by selecting the range, typing #N/A in the Find what box, entering 20 in the Replace with box, and clicking Replace All. It's a quick and easy way to clean up my data!</t>
  </si>
  <si>
    <t>Name-1</t>
  </si>
  <si>
    <t>Name-2</t>
  </si>
  <si>
    <t>name_1 (ID'S)</t>
  </si>
  <si>
    <t>name_2 (ID'S)</t>
  </si>
  <si>
    <t>name the employees using the VLOOKUP function based on their IDs in Table B then with the help of name match the value by using Vlookup.</t>
  </si>
  <si>
    <t xml:space="preserve">Vlookup used can use the Index Formula for the same.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</si>
</sst>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7">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theme="7"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65">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9" xfId="0" applyFont="1" applyFill="1" applyBorder="1"/>
    <xf numFmtId="0" fontId="8" fillId="0" borderId="1" xfId="0" applyFont="1" applyBorder="1"/>
    <xf numFmtId="0" fontId="9" fillId="0" borderId="1" xfId="0" applyFont="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7" fillId="0" borderId="0" xfId="0" applyFont="1" applyAlignment="1">
      <alignment horizontal="center"/>
    </xf>
    <xf numFmtId="0" fontId="3" fillId="0" borderId="0" xfId="0" applyFont="1" applyAlignment="1">
      <alignment horizontal="center"/>
    </xf>
    <xf numFmtId="164" fontId="3" fillId="0" borderId="0" xfId="0" applyNumberFormat="1" applyFont="1" applyAlignment="1">
      <alignment horizontal="center"/>
    </xf>
    <xf numFmtId="0" fontId="4" fillId="0" borderId="1" xfId="0" applyFont="1" applyBorder="1" applyAlignment="1">
      <alignment horizontal="center"/>
    </xf>
    <xf numFmtId="164" fontId="4" fillId="0" borderId="1" xfId="0" applyNumberFormat="1" applyFont="1" applyBorder="1" applyAlignment="1">
      <alignment horizontal="center"/>
    </xf>
    <xf numFmtId="0" fontId="7" fillId="2" borderId="1" xfId="0" applyFont="1" applyFill="1" applyBorder="1" applyAlignment="1">
      <alignment horizontal="center"/>
    </xf>
    <xf numFmtId="0" fontId="7" fillId="3" borderId="1" xfId="0" applyFont="1" applyFill="1" applyBorder="1" applyAlignment="1">
      <alignment horizontal="center"/>
    </xf>
    <xf numFmtId="0" fontId="7" fillId="0" borderId="1" xfId="0" applyFont="1" applyBorder="1" applyAlignment="1">
      <alignment horizontal="center"/>
    </xf>
    <xf numFmtId="0" fontId="3" fillId="0" borderId="1" xfId="0" applyFont="1" applyBorder="1" applyAlignment="1">
      <alignment horizontal="center"/>
    </xf>
    <xf numFmtId="164" fontId="3" fillId="0" borderId="1" xfId="0" applyNumberFormat="1" applyFont="1" applyBorder="1" applyAlignment="1">
      <alignment horizontal="center"/>
    </xf>
    <xf numFmtId="14" fontId="3" fillId="0" borderId="1" xfId="0" applyNumberFormat="1" applyFont="1" applyBorder="1" applyAlignment="1">
      <alignment horizontal="center"/>
    </xf>
    <xf numFmtId="164" fontId="7" fillId="0" borderId="0" xfId="0" applyNumberFormat="1" applyFont="1" applyAlignment="1">
      <alignment horizontal="center"/>
    </xf>
    <xf numFmtId="0" fontId="7" fillId="0" borderId="10" xfId="0" applyFont="1" applyBorder="1" applyAlignment="1">
      <alignment horizontal="center"/>
    </xf>
    <xf numFmtId="0" fontId="7" fillId="6" borderId="1" xfId="0" applyFont="1" applyFill="1" applyBorder="1" applyAlignment="1">
      <alignment horizontal="center"/>
    </xf>
    <xf numFmtId="0" fontId="0" fillId="0" borderId="0" xfId="0" pivotButton="1"/>
    <xf numFmtId="0" fontId="0" fillId="0" borderId="0" xfId="0" applyAlignment="1">
      <alignment horizontal="left"/>
    </xf>
    <xf numFmtId="0" fontId="7" fillId="5" borderId="1" xfId="0" applyFont="1" applyFill="1" applyBorder="1"/>
    <xf numFmtId="0" fontId="3" fillId="6" borderId="1" xfId="0" applyFont="1" applyFill="1" applyBorder="1" applyAlignment="1">
      <alignment horizontal="center"/>
    </xf>
    <xf numFmtId="0" fontId="8" fillId="0" borderId="1" xfId="0" applyFont="1" applyBorder="1" applyAlignment="1">
      <alignment horizontal="center"/>
    </xf>
    <xf numFmtId="0" fontId="9" fillId="0" borderId="0" xfId="0" applyFont="1"/>
    <xf numFmtId="0" fontId="7" fillId="6" borderId="1" xfId="0" applyFont="1" applyFill="1" applyBorder="1" applyAlignment="1">
      <alignment horizontal="center"/>
    </xf>
    <xf numFmtId="0" fontId="9" fillId="6" borderId="11" xfId="0" applyFont="1" applyFill="1" applyBorder="1" applyAlignment="1">
      <alignment horizontal="center" vertical="center" wrapText="1"/>
    </xf>
    <xf numFmtId="0" fontId="9" fillId="6" borderId="12" xfId="0" applyFont="1" applyFill="1" applyBorder="1" applyAlignment="1">
      <alignment horizontal="center" vertical="center" wrapText="1"/>
    </xf>
    <xf numFmtId="0" fontId="9" fillId="6" borderId="13" xfId="0" applyFont="1" applyFill="1" applyBorder="1" applyAlignment="1">
      <alignment horizontal="center" vertical="center" wrapText="1"/>
    </xf>
    <xf numFmtId="0" fontId="9" fillId="6" borderId="14" xfId="0" applyFont="1" applyFill="1" applyBorder="1" applyAlignment="1">
      <alignment horizontal="center" vertical="center" wrapText="1"/>
    </xf>
    <xf numFmtId="0" fontId="9" fillId="6" borderId="1" xfId="0" applyFont="1" applyFill="1" applyBorder="1" applyAlignment="1">
      <alignment horizontal="center" vertical="center" wrapText="1"/>
    </xf>
    <xf numFmtId="0" fontId="9" fillId="6" borderId="15" xfId="0" applyFont="1" applyFill="1" applyBorder="1" applyAlignment="1">
      <alignment horizontal="center" vertical="center" wrapText="1"/>
    </xf>
    <xf numFmtId="0" fontId="9" fillId="6" borderId="16" xfId="0" applyFont="1" applyFill="1" applyBorder="1" applyAlignment="1">
      <alignment horizontal="center" vertical="center" wrapText="1"/>
    </xf>
    <xf numFmtId="0" fontId="9" fillId="6" borderId="17" xfId="0" applyFont="1" applyFill="1" applyBorder="1" applyAlignment="1">
      <alignment horizontal="center" vertical="center" wrapText="1"/>
    </xf>
    <xf numFmtId="0" fontId="9" fillId="6" borderId="18" xfId="0" applyFont="1" applyFill="1" applyBorder="1" applyAlignment="1">
      <alignment horizontal="center" vertical="center" wrapText="1"/>
    </xf>
    <xf numFmtId="0" fontId="16" fillId="0" borderId="0" xfId="0" applyFont="1" applyAlignment="1">
      <alignment horizontal="center"/>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8">
    <dxf>
      <fill>
        <patternFill>
          <bgColor rgb="FFFF0000"/>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7"/>
      <tableStyleElement type="headerRow"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589.746870023147" createdVersion="8" refreshedVersion="8" minRefreshableVersion="3" recordCount="43" xr:uid="{2ED6CD29-B62B-4D31-8156-AE32EA585B94}">
  <cacheSource type="worksheet">
    <worksheetSource ref="A1:Y1048576" sheet="Dataset"/>
  </cacheSource>
  <cacheFields count="25">
    <cacheField name="name" numFmtId="0">
      <sharedItems containsBlank="1" count="40">
        <s v="Warrendale"/>
        <s v="Butler Valley"/>
        <s v="Allegheny Valley"/>
        <s v="Pittsburgh"/>
        <s v="Irwin"/>
        <s v="New Stanton"/>
        <s v="Donegal"/>
        <s v="Somerset"/>
        <s v="Bedford"/>
        <s v="Breezewood"/>
        <s v="Fort Littleton"/>
        <s v="Willow Hill"/>
        <s v="Blue Mountain"/>
        <s v="Carlisle"/>
        <s v="Gettysburg Pike"/>
        <s v="Harrisburg West"/>
        <s v="Harrisburg East"/>
        <s v="Lebanon-Lancaster"/>
        <s v="Reading"/>
        <s v="Morgantown"/>
        <s v="Downingtown"/>
        <s v="S.R. 29"/>
        <s v="Valley Forge"/>
        <s v="Norristown"/>
        <s v="Fort Washington"/>
        <s v="Virginia Drive "/>
        <s v="Willow Grove"/>
        <s v="Bensalem"/>
        <s v="St. Rd "/>
        <s v="Neshaminy Falls"/>
        <s v="Mid-County"/>
        <s v="Lansdale"/>
        <s v="Quakertown"/>
        <s v="Lehigh Valley"/>
        <s v="Mahoning Valley"/>
        <s v="S.R. 903"/>
        <s v="Pocono"/>
        <s v="Wilkes-Barre"/>
        <s v="Wyoming Valley"/>
        <m/>
      </sharedItems>
    </cacheField>
    <cacheField name="ID" numFmtId="0">
      <sharedItems containsString="0" containsBlank="1" containsNumber="1" containsInteger="1" minValue="20000" maxValue="21016"/>
    </cacheField>
    <cacheField name="start_day" numFmtId="0">
      <sharedItems containsBlank="1"/>
    </cacheField>
    <cacheField name="start_time" numFmtId="164">
      <sharedItems containsNonDate="0" containsDate="1" containsString="0" containsBlank="1" minDate="1899-12-30T00:00:00" maxDate="1899-12-31T00:00:00"/>
    </cacheField>
    <cacheField name="end_day" numFmtId="0">
      <sharedItems containsBlank="1"/>
    </cacheField>
    <cacheField name="end_time" numFmtId="0">
      <sharedItems containsDate="1" containsBlank="1" containsMixedTypes="1" minDate="1899-12-30T23:59:59" maxDate="1899-12-30T23:59:59"/>
    </cacheField>
    <cacheField name="car1" numFmtId="0">
      <sharedItems containsString="0" containsBlank="1" containsNumber="1" minValue="-1" maxValue="51.8"/>
    </cacheField>
    <cacheField name="car2" numFmtId="0">
      <sharedItems containsString="0" containsBlank="1" containsNumber="1" minValue="-1" maxValue="1473.0000000000002"/>
    </cacheField>
    <cacheField name="car3" numFmtId="0">
      <sharedItems containsString="0" containsBlank="1" containsNumber="1" minValue="-1" maxValue="93.1"/>
    </cacheField>
    <cacheField name="moto1" numFmtId="0">
      <sharedItems containsString="0" containsBlank="1" containsNumber="1" containsInteger="1" minValue="-1" maxValue="0"/>
    </cacheField>
    <cacheField name="moto2" numFmtId="0">
      <sharedItems containsString="0" containsBlank="1" containsNumber="1" containsInteger="1" minValue="-1" maxValue="0"/>
    </cacheField>
    <cacheField name="moto3" numFmtId="0">
      <sharedItems containsString="0" containsBlank="1" containsNumber="1" containsInteger="1" minValue="-1" maxValue="0"/>
    </cacheField>
    <cacheField name="bus1" numFmtId="0">
      <sharedItems containsString="0" containsBlank="1" containsNumber="1" minValue="-1" maxValue="104.5"/>
    </cacheField>
    <cacheField name="bus2" numFmtId="0">
      <sharedItems containsString="0" containsBlank="1" containsNumber="1" minValue="-1" maxValue="156.4"/>
    </cacheField>
    <cacheField name="bus3" numFmtId="0">
      <sharedItems containsString="0" containsBlank="1" containsNumber="1" minValue="-1" maxValue="188.1"/>
    </cacheField>
    <cacheField name="rv1" numFmtId="0">
      <sharedItems containsString="0" containsBlank="1" containsNumber="1" minValue="-1" maxValue="51.8"/>
    </cacheField>
    <cacheField name="rv2" numFmtId="0">
      <sharedItems containsString="0" containsBlank="1" containsNumber="1" minValue="-1" maxValue="77.2"/>
    </cacheField>
    <cacheField name="rv3" numFmtId="0">
      <sharedItems containsString="0" containsBlank="1" containsNumber="1" minValue="-1" maxValue="93.1"/>
    </cacheField>
    <cacheField name="truck1" numFmtId="0">
      <sharedItems containsString="0" containsBlank="1" containsNumber="1" minValue="-1" maxValue="156.4"/>
    </cacheField>
    <cacheField name="truck2" numFmtId="0">
      <sharedItems containsString="0" containsBlank="1" containsNumber="1" minValue="-1" maxValue="188.1"/>
    </cacheField>
    <cacheField name="taxi1" numFmtId="0">
      <sharedItems containsString="0" containsBlank="1" containsNumber="1" minValue="-1" maxValue="77.2"/>
    </cacheField>
    <cacheField name="taxi2" numFmtId="0">
      <sharedItems containsString="0" containsBlank="1" containsNumber="1" minValue="-1" maxValue="93.1"/>
    </cacheField>
    <cacheField name="taxi3" numFmtId="0">
      <sharedItems containsString="0" containsBlank="1" containsNumber="1" minValue="-1" maxValue="93.1"/>
    </cacheField>
    <cacheField name="date" numFmtId="0">
      <sharedItems containsNonDate="0" containsDate="1" containsString="0" containsBlank="1" minDate="2023-05-02T00:00:00" maxDate="2023-09-11T00:00:00"/>
    </cacheField>
    <cacheField name="Filtered Date &quot;YYYY-MM-DD&quot;"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x v="0"/>
    <n v="20000"/>
    <s v="Monday"/>
    <d v="1899-12-30T00:00:00"/>
    <s v="Sunday"/>
    <d v="1899-12-30T23:59:59"/>
    <n v="2.7"/>
    <n v="3.6"/>
    <n v="4.2"/>
    <n v="-1"/>
    <n v="-1"/>
    <n v="-1"/>
    <n v="5.3"/>
    <n v="7.6"/>
    <n v="8.9"/>
    <n v="2.7"/>
    <n v="3.6"/>
    <n v="4.2"/>
    <n v="7.6"/>
    <n v="8.9"/>
    <n v="3.6"/>
    <n v="4.2"/>
    <n v="4.2"/>
    <d v="2023-05-05T00:00:00"/>
    <s v="2023-05-05"/>
  </r>
  <r>
    <x v="1"/>
    <n v="20002"/>
    <s v="Monday"/>
    <d v="1899-12-30T00:00:00"/>
    <s v="Sunday"/>
    <d v="1899-12-30T23:59:59"/>
    <n v="2.7"/>
    <n v="3.6"/>
    <n v="4.2"/>
    <n v="-1"/>
    <n v="-1"/>
    <n v="-1"/>
    <n v="5.3"/>
    <n v="7.6"/>
    <n v="8.9"/>
    <n v="2.7"/>
    <n v="3.6"/>
    <n v="4.2"/>
    <n v="7.6"/>
    <n v="8.9"/>
    <n v="3.6"/>
    <n v="4.2"/>
    <n v="4.2"/>
    <d v="2023-05-02T00:00:00"/>
    <s v="2023-05-02"/>
  </r>
  <r>
    <x v="2"/>
    <n v="20004"/>
    <s v="Monday"/>
    <d v="1899-12-30T00:00:00"/>
    <s v="Sunday"/>
    <d v="1899-12-30T23:59:59"/>
    <n v="3.6"/>
    <n v="5.4"/>
    <n v="5.8"/>
    <n v="-1"/>
    <n v="-1"/>
    <n v="-1"/>
    <n v="7.6"/>
    <n v="11.1"/>
    <n v="12.2"/>
    <n v="3.6"/>
    <n v="5.4"/>
    <n v="5.8"/>
    <n v="11.1"/>
    <n v="12.2"/>
    <n v="5.4"/>
    <n v="5.8"/>
    <n v="5.8"/>
    <d v="2023-05-09T00:00:00"/>
    <s v="2023-05-09"/>
  </r>
  <r>
    <x v="3"/>
    <n v="20006"/>
    <s v="Monday"/>
    <d v="1899-12-30T00:00:00"/>
    <s v="Sunday"/>
    <d v="1899-12-30T23:59:59"/>
    <n v="4.9000000000000004"/>
    <n v="6.6"/>
    <n v="8.1"/>
    <n v="-1"/>
    <n v="-1"/>
    <n v="-1"/>
    <n v="10"/>
    <n v="13.3"/>
    <n v="17"/>
    <n v="4.9000000000000004"/>
    <n v="6.6"/>
    <n v="8.1"/>
    <n v="13.3"/>
    <n v="17"/>
    <n v="6.6"/>
    <n v="8.1"/>
    <n v="8.1"/>
    <d v="2023-05-13T00:00:00"/>
    <s v="2023-05-13"/>
  </r>
  <r>
    <x v="4"/>
    <n v="20008"/>
    <s v="Monday"/>
    <d v="1899-12-30T00:00:00"/>
    <s v="Sunday"/>
    <d v="1899-12-30T23:59:59"/>
    <n v="6.6"/>
    <n v="8.8000000000000007"/>
    <n v="11"/>
    <n v="-1"/>
    <n v="-1"/>
    <n v="-1"/>
    <n v="13.3"/>
    <n v="18"/>
    <n v="22.5"/>
    <n v="6.6"/>
    <n v="8.8000000000000007"/>
    <n v="11"/>
    <n v="18"/>
    <n v="22.5"/>
    <n v="8.8000000000000007"/>
    <n v="11"/>
    <n v="11"/>
    <d v="2023-05-30T00:00:00"/>
    <s v="2023-05-30"/>
  </r>
  <r>
    <x v="5"/>
    <n v="20010"/>
    <s v="Monday"/>
    <d v="1899-12-30T00:00:00"/>
    <s v="Sunday"/>
    <d v="1899-12-30T23:59:59"/>
    <n v="7.1"/>
    <n v="10.4"/>
    <n v="12.8"/>
    <n v="-1"/>
    <n v="-1"/>
    <n v="-1"/>
    <n v="14.4"/>
    <n v="21.5"/>
    <n v="26.1"/>
    <n v="7.1"/>
    <n v="10.4"/>
    <n v="12.8"/>
    <n v="21.5"/>
    <n v="26.1"/>
    <n v="10.4"/>
    <n v="12.8"/>
    <n v="12.8"/>
    <d v="2023-05-11T00:00:00"/>
    <s v="2023-05-11"/>
  </r>
  <r>
    <x v="6"/>
    <n v="20012"/>
    <s v="Monday"/>
    <d v="1899-12-30T00:00:00"/>
    <s v="Sunday"/>
    <d v="1899-12-30T23:59:59"/>
    <n v="9.4"/>
    <n v="13.8"/>
    <n v="16.100000000000001"/>
    <n v="-1"/>
    <n v="-1"/>
    <n v="-1"/>
    <n v="19.2"/>
    <n v="28.3"/>
    <n v="32.799999999999997"/>
    <n v="9.4"/>
    <n v="13.8"/>
    <n v="16.100000000000001"/>
    <n v="28.3"/>
    <n v="32.799999999999997"/>
    <n v="13.8"/>
    <n v="16.100000000000001"/>
    <n v="16.100000000000001"/>
    <d v="2023-05-06T00:00:00"/>
    <s v="2023-05-06"/>
  </r>
  <r>
    <x v="7"/>
    <n v="20014"/>
    <s v="Monday"/>
    <d v="1899-12-30T00:00:00"/>
    <s v="Sunday"/>
    <d v="1899-12-30T23:59:59"/>
    <n v="11.6"/>
    <n v="17.3"/>
    <n v="21.3"/>
    <n v="-1"/>
    <n v="-1"/>
    <n v="-1"/>
    <n v="23.6"/>
    <n v="35.200000000000003"/>
    <n v="43"/>
    <n v="11.6"/>
    <n v="17.3"/>
    <n v="21.3"/>
    <n v="35.200000000000003"/>
    <n v="43"/>
    <n v="17.3"/>
    <n v="21.3"/>
    <n v="21.3"/>
    <d v="2023-06-21T00:00:00"/>
    <s v="2023-06-21"/>
  </r>
  <r>
    <x v="8"/>
    <n v="20016"/>
    <s v="Monday"/>
    <d v="1899-12-30T00:00:00"/>
    <s v="Sunday"/>
    <d v="1899-12-30T23:59:59"/>
    <n v="16.100000000000001"/>
    <n v="24.1"/>
    <n v="29.1"/>
    <n v="-1"/>
    <n v="-1"/>
    <n v="-1"/>
    <n v="32.799999999999997"/>
    <n v="49"/>
    <n v="59"/>
    <n v="16.100000000000001"/>
    <n v="24.1"/>
    <n v="29.1"/>
    <n v="49"/>
    <n v="59"/>
    <n v="24.1"/>
    <n v="29.1"/>
    <n v="29.1"/>
    <d v="2023-06-15T00:00:00"/>
    <s v="2023-06-15"/>
  </r>
  <r>
    <x v="9"/>
    <n v="20018"/>
    <s v="Monday"/>
    <d v="1899-12-30T00:00:00"/>
    <s v="Sunday"/>
    <d v="1899-12-30T23:59:59"/>
    <n v="18.399999999999999"/>
    <n v="27.5"/>
    <n v="33.799999999999997"/>
    <n v="-1"/>
    <n v="-1"/>
    <n v="-1"/>
    <n v="37.200000000000003"/>
    <n v="55.6"/>
    <n v="67.900000000000006"/>
    <n v="18.399999999999999"/>
    <n v="27.5"/>
    <n v="33.799999999999997"/>
    <n v="55.6"/>
    <n v="67.900000000000006"/>
    <n v="27.5"/>
    <n v="33.799999999999997"/>
    <n v="33.799999999999997"/>
    <d v="2023-06-27T00:00:00"/>
    <s v="2023-06-27"/>
  </r>
  <r>
    <x v="10"/>
    <n v="20020"/>
    <s v="Monday"/>
    <d v="1899-12-30T00:00:00"/>
    <s v="Sunday"/>
    <d v="1899-12-30T23:59:59"/>
    <n v="0"/>
    <n v="0"/>
    <n v="0"/>
    <n v="0"/>
    <n v="0"/>
    <n v="0"/>
    <n v="0"/>
    <n v="0"/>
    <n v="0"/>
    <n v="0"/>
    <n v="0"/>
    <n v="0"/>
    <n v="0"/>
    <n v="0"/>
    <n v="0"/>
    <n v="0"/>
    <n v="0"/>
    <d v="2023-07-09T00:00:00"/>
    <s v="2023-07-09"/>
  </r>
  <r>
    <x v="11"/>
    <n v="20022"/>
    <s v="Monday"/>
    <d v="1899-12-30T00:00:00"/>
    <s v="Sunday"/>
    <d v="1899-12-30T23:59:59"/>
    <n v="21.9"/>
    <n v="32.1"/>
    <n v="40.1"/>
    <n v="-1"/>
    <n v="-1"/>
    <n v="-1"/>
    <n v="42.3"/>
    <n v="61.5"/>
    <n v="76.599999999999994"/>
    <n v="21.9"/>
    <n v="32.1"/>
    <n v="40.1"/>
    <n v="61.5"/>
    <n v="76.599999999999994"/>
    <n v="32.1"/>
    <n v="40.1"/>
    <n v="40.1"/>
    <d v="2023-07-03T00:00:00"/>
    <s v="2023-07-03"/>
  </r>
  <r>
    <x v="12"/>
    <n v="20024"/>
    <s v="Monday"/>
    <d v="1899-12-30T00:00:00"/>
    <s v="Sunday"/>
    <d v="1899-12-30T23:59:59"/>
    <n v="23.5"/>
    <n v="34.700000000000003"/>
    <n v="42.7"/>
    <n v="-1"/>
    <n v="-1"/>
    <n v="-1"/>
    <n v="47.7"/>
    <n v="70.8"/>
    <n v="86.6"/>
    <n v="23.5"/>
    <n v="34.700000000000003"/>
    <n v="42.7"/>
    <n v="70.8"/>
    <n v="86.6"/>
    <n v="34.700000000000003"/>
    <n v="42.7"/>
    <n v="42.7"/>
    <d v="2023-06-18T00:00:00"/>
    <s v="2023-06-18"/>
  </r>
  <r>
    <x v="13"/>
    <n v="20026"/>
    <s v="Monday"/>
    <d v="1899-12-30T00:00:00"/>
    <s v="Sunday"/>
    <d v="1899-12-30T23:59:59"/>
    <n v="26.8"/>
    <n v="39.299999999999997"/>
    <n v="47.9"/>
    <n v="-1"/>
    <n v="-1"/>
    <n v="-1"/>
    <n v="54.6"/>
    <n v="79.599999999999994"/>
    <n v="96.8"/>
    <n v="26.8"/>
    <n v="39.299999999999997"/>
    <n v="47.9"/>
    <n v="79.599999999999994"/>
    <n v="96.8"/>
    <n v="39.299999999999997"/>
    <n v="47.9"/>
    <n v="47.9"/>
    <d v="2023-07-06T00:00:00"/>
    <s v="2023-07-06"/>
  </r>
  <r>
    <x v="14"/>
    <n v="20028"/>
    <s v="Monday"/>
    <d v="1899-12-30T00:00:00"/>
    <s v="Sunday"/>
    <d v="1899-12-30T23:59:59"/>
    <n v="28"/>
    <n v="41"/>
    <n v="50.1"/>
    <n v="-1"/>
    <n v="-1"/>
    <n v="-1"/>
    <n v="56.7"/>
    <n v="83.2"/>
    <n v="101.3"/>
    <n v="28"/>
    <n v="41"/>
    <n v="50.1"/>
    <n v="83.2"/>
    <n v="101.3"/>
    <n v="41"/>
    <n v="50.1"/>
    <n v="50.1"/>
    <d v="2023-05-17T00:00:00"/>
    <s v="2023-05-17"/>
  </r>
  <r>
    <x v="15"/>
    <n v="20030"/>
    <s v="Monday"/>
    <d v="1899-12-30T00:00:00"/>
    <s v="Sunday"/>
    <d v="1899-12-30T23:59:59"/>
    <n v="28.5"/>
    <n v="42.3"/>
    <n v="52.3"/>
    <n v="-1"/>
    <n v="-1"/>
    <n v="-1"/>
    <n v="58.3"/>
    <n v="85.4"/>
    <n v="106.1"/>
    <n v="28.5"/>
    <n v="42.3"/>
    <n v="52.3"/>
    <n v="85.4"/>
    <n v="106.1"/>
    <n v="42.3"/>
    <n v="52.3"/>
    <n v="52.3"/>
    <d v="2023-05-25T00:00:00"/>
    <s v="2023-05-25"/>
  </r>
  <r>
    <x v="16"/>
    <n v="20032"/>
    <s v="Monday"/>
    <d v="1899-12-30T00:00:00"/>
    <s v="Sunday"/>
    <d v="1899-12-30T23:59:59"/>
    <n v="29.1"/>
    <n v="43.3"/>
    <n v="53.7"/>
    <n v="-1"/>
    <n v="-1"/>
    <n v="-1"/>
    <n v="59"/>
    <n v="87.6"/>
    <n v="108.8"/>
    <n v="29.1"/>
    <n v="43.3"/>
    <n v="53.7"/>
    <n v="87.6"/>
    <n v="108.8"/>
    <n v="43.3"/>
    <n v="53.7"/>
    <n v="53.7"/>
    <d v="2023-06-08T00:00:00"/>
    <s v="2023-06-08"/>
  </r>
  <r>
    <x v="17"/>
    <n v="20034"/>
    <s v="Monday"/>
    <d v="1899-12-30T00:00:00"/>
    <s v="Sunday"/>
    <d v="1899-12-30T23:59:59"/>
    <n v="30.7"/>
    <n v="45.5"/>
    <n v="57"/>
    <n v="-1"/>
    <n v="-1"/>
    <n v="-1"/>
    <n v="62.5"/>
    <n v="92.1"/>
    <n v="115.1"/>
    <n v="30.7"/>
    <n v="45.5"/>
    <n v="57"/>
    <n v="92.1"/>
    <n v="115.1"/>
    <n v="45.5"/>
    <n v="57"/>
    <n v="57"/>
    <d v="2023-06-22T00:00:00"/>
    <s v="2023-06-22"/>
  </r>
  <r>
    <x v="18"/>
    <n v="20036"/>
    <s v="Monday"/>
    <d v="1899-12-30T00:00:00"/>
    <s v="Sunday"/>
    <d v="1899-12-30T23:59:59"/>
    <n v="33.799999999999997"/>
    <n v="50.1"/>
    <n v="61.4"/>
    <n v="-1"/>
    <n v="-1"/>
    <n v="-1"/>
    <n v="67.900000000000006"/>
    <n v="101.3"/>
    <n v="124.4"/>
    <n v="33.799999999999997"/>
    <n v="50.1"/>
    <n v="61.4"/>
    <n v="101.3"/>
    <n v="124.4"/>
    <n v="50.1"/>
    <n v="61.4"/>
    <n v="61.4"/>
    <d v="2023-06-14T00:00:00"/>
    <s v="2023-06-14"/>
  </r>
  <r>
    <x v="19"/>
    <n v="20038"/>
    <s v="Monday"/>
    <d v="1899-12-30T00:00:00"/>
    <s v="Sunday"/>
    <d v="1899-12-30T23:59:59"/>
    <n v="34.700000000000003"/>
    <n v="52.3"/>
    <n v="63.6"/>
    <n v="-1"/>
    <n v="-1"/>
    <n v="-1"/>
    <n v="70.8"/>
    <n v="106.1"/>
    <n v="128.6"/>
    <n v="34.700000000000003"/>
    <n v="52.3"/>
    <n v="63.6"/>
    <n v="106.1"/>
    <n v="128.6"/>
    <n v="52.3"/>
    <n v="63.6"/>
    <n v="63.6"/>
    <d v="2023-06-02T00:00:00"/>
    <s v="2023-06-02"/>
  </r>
  <r>
    <x v="20"/>
    <n v="20040"/>
    <s v="Monday"/>
    <d v="1899-12-30T00:00:00"/>
    <s v="Sunday"/>
    <d v="1899-12-30T23:59:59"/>
    <n v="36.5"/>
    <n v="54.6"/>
    <n v="65.900000000000006"/>
    <n v="-1"/>
    <n v="-1"/>
    <n v="-1"/>
    <n v="73.900000000000006"/>
    <n v="110.3"/>
    <n v="133.4"/>
    <n v="36.5"/>
    <n v="54.6"/>
    <n v="65.900000000000006"/>
    <n v="110.3"/>
    <n v="133.4"/>
    <n v="54.6"/>
    <n v="65.900000000000006"/>
    <n v="65.900000000000006"/>
    <d v="2023-05-29T00:00:00"/>
    <s v="2023-05-29"/>
  </r>
  <r>
    <x v="21"/>
    <n v="20042"/>
    <s v="Monday"/>
    <d v="1899-12-30T00:00:00"/>
    <s v="Sunday"/>
    <d v="1899-12-30T23:59:59"/>
    <n v="38"/>
    <n v="57.2"/>
    <n v="68.7"/>
    <n v="-1"/>
    <n v="-1"/>
    <n v="-1"/>
    <n v="76.599999999999994"/>
    <n v="115.5"/>
    <n v="138.80000000000001"/>
    <n v="38"/>
    <n v="57.2"/>
    <n v="68.7"/>
    <n v="115.5"/>
    <n v="138.80000000000001"/>
    <n v="57.2"/>
    <n v="68.7"/>
    <n v="68.7"/>
    <d v="2023-07-03T00:00:00"/>
    <s v="2023-07-03"/>
  </r>
  <r>
    <x v="22"/>
    <n v="20044"/>
    <s v="Monday"/>
    <d v="1899-12-30T00:00:00"/>
    <s v="Sunday"/>
    <d v="1899-12-30T23:59:59"/>
    <n v="38.700000000000003"/>
    <n v="59.2"/>
    <n v="70.400000000000006"/>
    <n v="-1"/>
    <n v="-1"/>
    <n v="-1"/>
    <n v="78.599999999999994"/>
    <n v="119.4"/>
    <n v="142.5"/>
    <n v="38.700000000000003"/>
    <n v="59.2"/>
    <n v="70.400000000000006"/>
    <n v="119.4"/>
    <n v="142.5"/>
    <n v="59.2"/>
    <n v="70.400000000000006"/>
    <n v="70.400000000000006"/>
    <d v="2023-07-07T00:00:00"/>
    <s v="2023-07-07"/>
  </r>
  <r>
    <x v="23"/>
    <n v="20046"/>
    <s v="Monday"/>
    <d v="1899-12-30T00:00:00"/>
    <s v="Sunday"/>
    <d v="1899-12-30T23:59:59"/>
    <n v="40.1"/>
    <n v="59.2"/>
    <n v="72.8"/>
    <n v="-1"/>
    <n v="-1"/>
    <n v="-1"/>
    <n v="80.8"/>
    <n v="119.4"/>
    <n v="146.80000000000001"/>
    <n v="40.1"/>
    <n v="59.2"/>
    <n v="72.8"/>
    <n v="119.4"/>
    <n v="146.80000000000001"/>
    <n v="59.2"/>
    <n v="72.8"/>
    <n v="72.8"/>
    <d v="2023-07-11T00:00:00"/>
    <s v="2023-07-11"/>
  </r>
  <r>
    <x v="24"/>
    <n v="20048"/>
    <s v="Monday"/>
    <d v="1899-12-30T00:00:00"/>
    <s v="Sunday"/>
    <d v="1899-12-30T23:59:59"/>
    <n v="0"/>
    <n v="0"/>
    <n v="0"/>
    <n v="0"/>
    <n v="0"/>
    <n v="0"/>
    <n v="0"/>
    <n v="0"/>
    <n v="0"/>
    <n v="0"/>
    <n v="0"/>
    <n v="0"/>
    <n v="0"/>
    <n v="0"/>
    <n v="0"/>
    <n v="0"/>
    <n v="0"/>
    <d v="2023-08-04T00:00:00"/>
    <s v="2023-08-04"/>
  </r>
  <r>
    <x v="25"/>
    <n v="20050"/>
    <s v="Monday"/>
    <d v="1899-12-30T00:00:00"/>
    <s v="Sunday"/>
    <d v="1899-12-30T23:59:59"/>
    <n v="41.3"/>
    <n v="61.4"/>
    <n v="75"/>
    <n v="-1"/>
    <n v="-1"/>
    <n v="-1"/>
    <n v="83.5"/>
    <n v="124.4"/>
    <n v="151.5"/>
    <n v="41.3"/>
    <n v="61.4"/>
    <n v="75"/>
    <n v="124.4"/>
    <n v="151.5"/>
    <n v="61.4"/>
    <n v="75"/>
    <n v="75"/>
    <d v="2023-08-08T00:00:00"/>
    <s v="2023-08-08"/>
  </r>
  <r>
    <x v="26"/>
    <n v="20052"/>
    <s v="Monday"/>
    <d v="1899-12-30T00:00:00"/>
    <s v="Sunday"/>
    <d v="1899-12-30T23:59:59"/>
    <n v="42.3"/>
    <n v="61.4"/>
    <n v="75"/>
    <n v="-1"/>
    <n v="-1"/>
    <n v="-1"/>
    <n v="85.4"/>
    <n v="124.4"/>
    <n v="151.5"/>
    <n v="42.3"/>
    <n v="61.4"/>
    <n v="75"/>
    <n v="124.4"/>
    <n v="151.5"/>
    <n v="61.4"/>
    <n v="75"/>
    <n v="75"/>
    <d v="2023-07-01T00:00:00"/>
    <s v="2023-07-01"/>
  </r>
  <r>
    <x v="27"/>
    <n v="20054"/>
    <s v="Monday"/>
    <d v="1899-12-30T00:00:00"/>
    <s v="Sunday"/>
    <d v="1899-12-30T23:59:59"/>
    <n v="43.3"/>
    <n v="63.6"/>
    <n v="77.2"/>
    <n v="-1"/>
    <n v="-1"/>
    <n v="-1"/>
    <n v="87.6"/>
    <n v="128.6"/>
    <n v="156.4"/>
    <n v="43.3"/>
    <n v="63.6"/>
    <n v="77.2"/>
    <n v="128.6"/>
    <n v="156.4"/>
    <n v="63.6"/>
    <n v="77.2"/>
    <n v="77.2"/>
    <d v="2023-08-15T00:00:00"/>
    <s v="2023-08-15"/>
  </r>
  <r>
    <x v="28"/>
    <n v="20058"/>
    <s v="Monday"/>
    <d v="1899-12-30T00:00:00"/>
    <s v="Sunday"/>
    <d v="1899-12-30T23:59:59"/>
    <n v="-1"/>
    <n v="-1"/>
    <n v="-1"/>
    <n v="-1"/>
    <n v="-1"/>
    <n v="-1"/>
    <n v="-1"/>
    <n v="-1"/>
    <n v="-1"/>
    <n v="-1"/>
    <n v="-1"/>
    <n v="-1"/>
    <n v="-1"/>
    <n v="-1"/>
    <n v="-1"/>
    <n v="-1"/>
    <n v="-1"/>
    <d v="2023-08-12T00:00:00"/>
    <s v="2023-08-12"/>
  </r>
  <r>
    <x v="29"/>
    <n v="20060"/>
    <s v="Monday"/>
    <d v="1899-12-30T00:00:00"/>
    <s v="Sunday"/>
    <d v="1899-12-30T23:59:59"/>
    <n v="45"/>
    <n v="65.900000000000006"/>
    <n v="79.400000000000006"/>
    <n v="-1"/>
    <n v="-1"/>
    <n v="-1"/>
    <n v="90.9"/>
    <n v="133.4"/>
    <n v="160.9"/>
    <n v="45"/>
    <n v="65.900000000000006"/>
    <n v="79.400000000000006"/>
    <n v="133.4"/>
    <n v="160.9"/>
    <n v="65.900000000000006"/>
    <n v="79.400000000000006"/>
    <n v="79.400000000000006"/>
    <d v="2023-08-19T00:00:00"/>
    <s v="2023-08-19"/>
  </r>
  <r>
    <x v="30"/>
    <n v="21000"/>
    <s v="Monday"/>
    <d v="1899-12-30T00:00:00"/>
    <s v="Sunday"/>
    <d v="1899-12-30T23:59:59"/>
    <n v="-1"/>
    <n v="-1"/>
    <n v="-1"/>
    <n v="-1"/>
    <n v="-1"/>
    <n v="-1"/>
    <n v="-1"/>
    <n v="-1"/>
    <n v="-1"/>
    <n v="-1"/>
    <n v="-1"/>
    <n v="-1"/>
    <n v="-1"/>
    <n v="-1"/>
    <n v="-1"/>
    <n v="-1"/>
    <n v="-1"/>
    <d v="2023-08-05T00:00:00"/>
    <s v="2023-08-05"/>
  </r>
  <r>
    <x v="31"/>
    <n v="21002"/>
    <s v="Monday"/>
    <d v="1899-12-30T00:00:00"/>
    <s v="Sunday"/>
    <d v="1899-12-30T23:59:59"/>
    <n v="41.5"/>
    <n v="61.4"/>
    <n v="75"/>
    <n v="-1"/>
    <n v="-1"/>
    <n v="-1"/>
    <n v="84.6"/>
    <n v="124.4"/>
    <n v="151.5"/>
    <n v="41.5"/>
    <n v="61.4"/>
    <n v="75"/>
    <n v="124.4"/>
    <n v="151.5"/>
    <n v="61.4"/>
    <n v="75"/>
    <n v="75"/>
    <d v="2023-08-28T00:00:00"/>
    <s v="2023-08-28"/>
  </r>
  <r>
    <x v="32"/>
    <n v="21004"/>
    <s v="Monday"/>
    <d v="1899-12-30T00:00:00"/>
    <s v="Sunday"/>
    <d v="1899-12-30T23:59:59"/>
    <n v="43.3"/>
    <n v="63.6"/>
    <n v="79.400000000000006"/>
    <n v="-1"/>
    <n v="-1"/>
    <n v="-1"/>
    <n v="87.6"/>
    <n v="128.6"/>
    <n v="160.9"/>
    <n v="43.3"/>
    <n v="63.6"/>
    <n v="79.400000000000006"/>
    <n v="128.6"/>
    <n v="160.9"/>
    <n v="63.6"/>
    <n v="79.400000000000006"/>
    <n v="79.400000000000006"/>
    <d v="2023-08-24T00:00:00"/>
    <s v="2023-08-24"/>
  </r>
  <r>
    <x v="33"/>
    <n v="21006"/>
    <s v="Monday"/>
    <d v="1899-12-30T00:00:00"/>
    <s v="Sunday"/>
    <d v="1899-12-30T23:59:59"/>
    <n v="44.5"/>
    <n v="65.900000000000006"/>
    <n v="81.8"/>
    <n v="-1"/>
    <n v="-1"/>
    <n v="-1"/>
    <n v="89.9"/>
    <n v="133.4"/>
    <n v="165.3"/>
    <n v="44.5"/>
    <n v="65.900000000000006"/>
    <n v="81.8"/>
    <n v="133.4"/>
    <n v="165.3"/>
    <n v="65.900000000000006"/>
    <n v="81.8"/>
    <n v="81.8"/>
    <d v="2023-08-22T00:00:00"/>
    <s v="2023-08-22"/>
  </r>
  <r>
    <x v="34"/>
    <n v="21008"/>
    <s v="Monday"/>
    <d v="1899-12-30T00:00:00"/>
    <s v="Sunday"/>
    <d v="1899-12-30T23:59:59"/>
    <n v="47.3"/>
    <n v="70.400000000000006"/>
    <n v="86.4"/>
    <n v="-1"/>
    <n v="-1"/>
    <n v="-1"/>
    <n v="95.6"/>
    <n v="142.5"/>
    <n v="174.2"/>
    <n v="47.3"/>
    <n v="70.400000000000006"/>
    <n v="86.4"/>
    <n v="142.5"/>
    <n v="174.2"/>
    <n v="70.400000000000006"/>
    <n v="86.4"/>
    <n v="86.4"/>
    <d v="2023-09-10T00:00:00"/>
    <s v="2023-09-10"/>
  </r>
  <r>
    <x v="35"/>
    <n v="21010"/>
    <s v="Monday"/>
    <d v="1899-12-30T00:00:00"/>
    <s v="Sunday"/>
    <d v="1899-12-30T23:59:59"/>
    <n v="48.3"/>
    <n v="72"/>
    <n v="89"/>
    <n v="-1"/>
    <n v="-1"/>
    <n v="-1"/>
    <n v="97.9"/>
    <n v="145.5"/>
    <n v="179.8"/>
    <n v="48.3"/>
    <n v="72"/>
    <n v="89"/>
    <n v="145.5"/>
    <n v="179.8"/>
    <n v="72"/>
    <n v="89"/>
    <n v="89"/>
    <d v="2023-08-19T00:00:00"/>
    <s v="2023-08-19"/>
  </r>
  <r>
    <x v="36"/>
    <n v="21012"/>
    <s v="Monday"/>
    <d v="1899-12-30T00:00:00"/>
    <s v="Sunday"/>
    <d v="1899-12-30T23:59:59"/>
    <n v="49.1"/>
    <n v="72.8"/>
    <n v="90.9"/>
    <n v="-1"/>
    <n v="-1"/>
    <n v="-1"/>
    <n v="99.5"/>
    <n v="146.80000000000001"/>
    <n v="183.5"/>
    <n v="49.1"/>
    <n v="72.8"/>
    <n v="90.9"/>
    <n v="146.80000000000001"/>
    <n v="183.5"/>
    <n v="72.8"/>
    <n v="90.9"/>
    <n v="90.9"/>
    <d v="2023-08-05T00:00:00"/>
    <s v="2023-08-05"/>
  </r>
  <r>
    <x v="37"/>
    <n v="21014"/>
    <s v="Monday"/>
    <d v="1899-12-30T00:00:00"/>
    <s v="Sunday"/>
    <d v="1899-12-30T23:59:59"/>
    <n v="50.6"/>
    <n v="75"/>
    <n v="93.1"/>
    <n v="-1"/>
    <n v="-1"/>
    <n v="-1"/>
    <n v="102.6"/>
    <n v="151.5"/>
    <n v="188.1"/>
    <n v="50.6"/>
    <n v="75"/>
    <n v="93.1"/>
    <n v="151.5"/>
    <n v="188.1"/>
    <n v="75"/>
    <n v="93.1"/>
    <n v="93.1"/>
    <d v="2023-08-28T00:00:00"/>
    <s v="2023-08-28"/>
  </r>
  <r>
    <x v="38"/>
    <n v="21016"/>
    <s v="Monday"/>
    <d v="1899-12-30T00:00:00"/>
    <s v="Sunday"/>
    <d v="1899-12-30T23:59:59"/>
    <n v="51.8"/>
    <n v="77.2"/>
    <n v="93.1"/>
    <n v="-1"/>
    <n v="-1"/>
    <n v="-1"/>
    <n v="104.5"/>
    <n v="156.4"/>
    <n v="188.1"/>
    <n v="51.8"/>
    <n v="77.2"/>
    <n v="93.1"/>
    <n v="156.4"/>
    <n v="188.1"/>
    <n v="77.2"/>
    <n v="93.1"/>
    <n v="93.1"/>
    <d v="2023-08-24T00:00:00"/>
    <s v="2023-08-24"/>
  </r>
  <r>
    <x v="39"/>
    <m/>
    <m/>
    <m/>
    <m/>
    <m/>
    <m/>
    <m/>
    <m/>
    <m/>
    <m/>
    <m/>
    <m/>
    <m/>
    <m/>
    <m/>
    <m/>
    <m/>
    <m/>
    <m/>
    <m/>
    <m/>
    <m/>
    <m/>
    <m/>
  </r>
  <r>
    <x v="39"/>
    <m/>
    <m/>
    <m/>
    <m/>
    <m/>
    <m/>
    <n v="1473.0000000000002"/>
    <m/>
    <m/>
    <m/>
    <m/>
    <m/>
    <m/>
    <m/>
    <m/>
    <m/>
    <m/>
    <m/>
    <m/>
    <m/>
    <m/>
    <m/>
    <m/>
    <m/>
  </r>
  <r>
    <x v="39"/>
    <m/>
    <m/>
    <m/>
    <m/>
    <s v="The formula SUMIF(H2:H40,&quot;&gt;20&quot;) sums all values in the range H2 to H40 that are greater than 20"/>
    <m/>
    <m/>
    <m/>
    <m/>
    <m/>
    <m/>
    <m/>
    <m/>
    <m/>
    <m/>
    <m/>
    <m/>
    <m/>
    <m/>
    <m/>
    <m/>
    <m/>
    <m/>
    <m/>
  </r>
  <r>
    <x v="39"/>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A212E5-5206-4B77-8528-ED9C273BD10C}"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F44" firstHeaderRow="0" firstDataRow="1" firstDataCol="1"/>
  <pivotFields count="25">
    <pivotField axis="axisRow" showAll="0">
      <items count="41">
        <item x="2"/>
        <item x="8"/>
        <item x="27"/>
        <item x="12"/>
        <item x="9"/>
        <item x="1"/>
        <item x="13"/>
        <item x="6"/>
        <item x="20"/>
        <item x="10"/>
        <item x="24"/>
        <item x="14"/>
        <item x="16"/>
        <item x="15"/>
        <item x="4"/>
        <item x="31"/>
        <item x="17"/>
        <item x="33"/>
        <item x="34"/>
        <item x="30"/>
        <item x="19"/>
        <item x="29"/>
        <item x="5"/>
        <item x="23"/>
        <item x="3"/>
        <item x="36"/>
        <item x="32"/>
        <item x="18"/>
        <item x="21"/>
        <item x="35"/>
        <item x="7"/>
        <item x="28"/>
        <item x="22"/>
        <item x="25"/>
        <item x="0"/>
        <item x="37"/>
        <item x="26"/>
        <item x="11"/>
        <item x="38"/>
        <item x="39"/>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dataField="1" showAll="0"/>
    <pivotField showAll="0"/>
    <pivotField dataField="1" showAll="0"/>
    <pivotField showAll="0"/>
    <pivotField dataField="1" showAll="0"/>
    <pivotField showAll="0"/>
    <pivotField showAll="0"/>
    <pivotField showAll="0"/>
  </pivotFields>
  <rowFields count="1">
    <field x="0"/>
  </rowFields>
  <rowItems count="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t="grand">
      <x/>
    </i>
  </rowItems>
  <colFields count="1">
    <field x="-2"/>
  </colFields>
  <colItems count="5">
    <i>
      <x/>
    </i>
    <i i="1">
      <x v="1"/>
    </i>
    <i i="2">
      <x v="2"/>
    </i>
    <i i="3">
      <x v="3"/>
    </i>
    <i i="4">
      <x v="4"/>
    </i>
  </colItems>
  <dataFields count="5">
    <dataField name="Sum of taxi2" fld="21" baseField="0" baseItem="0"/>
    <dataField name="Sum of truck2" fld="19" baseField="0" baseItem="0"/>
    <dataField name="Sum of rv3" fld="17" baseField="0" baseItem="0"/>
    <dataField name="Sum of bus2" fld="13" baseField="0" baseItem="0"/>
    <dataField name="Sum of car1"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B14" sqref="B14"/>
    </sheetView>
  </sheetViews>
  <sheetFormatPr defaultColWidth="11" defaultRowHeight="13.8" x14ac:dyDescent="0.3"/>
  <cols>
    <col min="1" max="1" width="70.77734375" style="2" bestFit="1" customWidth="1"/>
    <col min="2" max="16384" width="11" style="2"/>
  </cols>
  <sheetData>
    <row r="1" spans="1:3" ht="18" x14ac:dyDescent="0.35">
      <c r="A1" s="29" t="s">
        <v>107</v>
      </c>
    </row>
    <row r="2" spans="1:3" x14ac:dyDescent="0.3">
      <c r="A2" s="2" t="s">
        <v>108</v>
      </c>
    </row>
    <row r="3" spans="1:3" x14ac:dyDescent="0.3">
      <c r="A3" s="2" t="s">
        <v>109</v>
      </c>
    </row>
    <row r="4" spans="1:3" ht="14.4" x14ac:dyDescent="0.3">
      <c r="A4" s="2" t="s">
        <v>174</v>
      </c>
      <c r="C4" s="1"/>
    </row>
    <row r="5" spans="1:3" x14ac:dyDescent="0.3">
      <c r="A5" s="2" t="s">
        <v>150</v>
      </c>
    </row>
    <row r="8" spans="1:3" x14ac:dyDescent="0.3">
      <c r="A8" s="2" t="s">
        <v>170</v>
      </c>
    </row>
    <row r="9" spans="1:3" x14ac:dyDescent="0.3">
      <c r="A9" s="26" t="s">
        <v>168</v>
      </c>
      <c r="B9" s="21" t="s">
        <v>166</v>
      </c>
    </row>
    <row r="10" spans="1:3" x14ac:dyDescent="0.3">
      <c r="A10" s="25" t="s">
        <v>169</v>
      </c>
      <c r="B10" s="27">
        <v>25</v>
      </c>
    </row>
    <row r="11" spans="1:3" x14ac:dyDescent="0.3">
      <c r="A11" s="25" t="s">
        <v>55</v>
      </c>
      <c r="B11" s="27">
        <v>30</v>
      </c>
    </row>
    <row r="12" spans="1:3" x14ac:dyDescent="0.3">
      <c r="A12" s="25" t="s">
        <v>56</v>
      </c>
      <c r="B12" s="27">
        <v>10</v>
      </c>
    </row>
    <row r="13" spans="1:3" x14ac:dyDescent="0.3">
      <c r="A13" s="25" t="s">
        <v>85</v>
      </c>
      <c r="B13" s="27">
        <v>20</v>
      </c>
    </row>
    <row r="14" spans="1:3" x14ac:dyDescent="0.3">
      <c r="A14" s="25" t="s">
        <v>98</v>
      </c>
      <c r="B14" s="27">
        <v>40</v>
      </c>
    </row>
    <row r="15" spans="1:3" x14ac:dyDescent="0.3">
      <c r="A15" s="28" t="s">
        <v>167</v>
      </c>
      <c r="B15" s="20">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84EAA-8F65-4E3B-93D6-A5B57D597293}">
  <dimension ref="A3:F44"/>
  <sheetViews>
    <sheetView tabSelected="1" topLeftCell="A3" workbookViewId="0">
      <selection activeCell="J20" sqref="J20"/>
    </sheetView>
  </sheetViews>
  <sheetFormatPr defaultRowHeight="13.2" x14ac:dyDescent="0.25"/>
  <cols>
    <col min="1" max="1" width="15.5546875" bestFit="1" customWidth="1"/>
    <col min="2" max="2" width="11.109375" bestFit="1" customWidth="1"/>
    <col min="3" max="3" width="12.44140625" bestFit="1" customWidth="1"/>
    <col min="4" max="4" width="9.77734375" bestFit="1" customWidth="1"/>
    <col min="5" max="5" width="10.77734375" bestFit="1" customWidth="1"/>
    <col min="6" max="6" width="10.6640625" bestFit="1" customWidth="1"/>
  </cols>
  <sheetData>
    <row r="3" spans="1:6" x14ac:dyDescent="0.25">
      <c r="A3" s="48" t="s">
        <v>178</v>
      </c>
      <c r="B3" t="s">
        <v>185</v>
      </c>
      <c r="C3" t="s">
        <v>184</v>
      </c>
      <c r="D3" t="s">
        <v>183</v>
      </c>
      <c r="E3" t="s">
        <v>182</v>
      </c>
      <c r="F3" t="s">
        <v>181</v>
      </c>
    </row>
    <row r="4" spans="1:6" x14ac:dyDescent="0.25">
      <c r="A4" s="49" t="s">
        <v>7</v>
      </c>
      <c r="B4">
        <v>5.8</v>
      </c>
      <c r="C4">
        <v>12.2</v>
      </c>
      <c r="D4">
        <v>5.8</v>
      </c>
      <c r="E4">
        <v>11.1</v>
      </c>
      <c r="F4">
        <v>3.6</v>
      </c>
    </row>
    <row r="5" spans="1:6" x14ac:dyDescent="0.25">
      <c r="A5" s="49" t="s">
        <v>13</v>
      </c>
      <c r="B5">
        <v>29.1</v>
      </c>
      <c r="C5">
        <v>59</v>
      </c>
      <c r="D5">
        <v>29.1</v>
      </c>
      <c r="E5">
        <v>49</v>
      </c>
      <c r="F5">
        <v>16.100000000000001</v>
      </c>
    </row>
    <row r="6" spans="1:6" x14ac:dyDescent="0.25">
      <c r="A6" s="49" t="s">
        <v>30</v>
      </c>
      <c r="B6">
        <v>77.2</v>
      </c>
      <c r="C6">
        <v>156.4</v>
      </c>
      <c r="D6">
        <v>77.2</v>
      </c>
      <c r="E6">
        <v>128.6</v>
      </c>
      <c r="F6">
        <v>43.3</v>
      </c>
    </row>
    <row r="7" spans="1:6" x14ac:dyDescent="0.25">
      <c r="A7" s="49" t="s">
        <v>17</v>
      </c>
      <c r="B7">
        <v>42.7</v>
      </c>
      <c r="C7">
        <v>86.6</v>
      </c>
      <c r="D7">
        <v>42.7</v>
      </c>
      <c r="E7">
        <v>70.8</v>
      </c>
      <c r="F7">
        <v>23.5</v>
      </c>
    </row>
    <row r="8" spans="1:6" x14ac:dyDescent="0.25">
      <c r="A8" s="49" t="s">
        <v>14</v>
      </c>
      <c r="B8">
        <v>33.799999999999997</v>
      </c>
      <c r="C8">
        <v>67.900000000000006</v>
      </c>
      <c r="D8">
        <v>33.799999999999997</v>
      </c>
      <c r="E8">
        <v>55.6</v>
      </c>
      <c r="F8">
        <v>18.399999999999999</v>
      </c>
    </row>
    <row r="9" spans="1:6" x14ac:dyDescent="0.25">
      <c r="A9" s="49" t="s">
        <v>4</v>
      </c>
      <c r="B9">
        <v>4.2</v>
      </c>
      <c r="C9">
        <v>8.9</v>
      </c>
      <c r="D9">
        <v>4.2</v>
      </c>
      <c r="E9">
        <v>7.6</v>
      </c>
      <c r="F9">
        <v>2.7</v>
      </c>
    </row>
    <row r="10" spans="1:6" x14ac:dyDescent="0.25">
      <c r="A10" s="49" t="s">
        <v>18</v>
      </c>
      <c r="B10">
        <v>47.9</v>
      </c>
      <c r="C10">
        <v>96.8</v>
      </c>
      <c r="D10">
        <v>47.9</v>
      </c>
      <c r="E10">
        <v>79.599999999999994</v>
      </c>
      <c r="F10">
        <v>26.8</v>
      </c>
    </row>
    <row r="11" spans="1:6" x14ac:dyDescent="0.25">
      <c r="A11" s="49" t="s">
        <v>11</v>
      </c>
      <c r="B11">
        <v>16.100000000000001</v>
      </c>
      <c r="C11">
        <v>32.799999999999997</v>
      </c>
      <c r="D11">
        <v>16.100000000000001</v>
      </c>
      <c r="E11">
        <v>28.3</v>
      </c>
      <c r="F11">
        <v>9.4</v>
      </c>
    </row>
    <row r="12" spans="1:6" x14ac:dyDescent="0.25">
      <c r="A12" s="49" t="s">
        <v>25</v>
      </c>
      <c r="B12">
        <v>65.900000000000006</v>
      </c>
      <c r="C12">
        <v>133.4</v>
      </c>
      <c r="D12">
        <v>65.900000000000006</v>
      </c>
      <c r="E12">
        <v>110.3</v>
      </c>
      <c r="F12">
        <v>36.5</v>
      </c>
    </row>
    <row r="13" spans="1:6" x14ac:dyDescent="0.25">
      <c r="A13" s="49" t="s">
        <v>15</v>
      </c>
      <c r="B13">
        <v>0</v>
      </c>
      <c r="C13">
        <v>0</v>
      </c>
      <c r="D13">
        <v>0</v>
      </c>
      <c r="E13">
        <v>0</v>
      </c>
      <c r="F13">
        <v>0</v>
      </c>
    </row>
    <row r="14" spans="1:6" x14ac:dyDescent="0.25">
      <c r="A14" s="49" t="s">
        <v>28</v>
      </c>
      <c r="B14">
        <v>0</v>
      </c>
      <c r="C14">
        <v>0</v>
      </c>
      <c r="D14">
        <v>0</v>
      </c>
      <c r="E14">
        <v>0</v>
      </c>
      <c r="F14">
        <v>0</v>
      </c>
    </row>
    <row r="15" spans="1:6" x14ac:dyDescent="0.25">
      <c r="A15" s="49" t="s">
        <v>19</v>
      </c>
      <c r="B15">
        <v>50.1</v>
      </c>
      <c r="C15">
        <v>101.3</v>
      </c>
      <c r="D15">
        <v>50.1</v>
      </c>
      <c r="E15">
        <v>83.2</v>
      </c>
      <c r="F15">
        <v>28</v>
      </c>
    </row>
    <row r="16" spans="1:6" x14ac:dyDescent="0.25">
      <c r="A16" s="49" t="s">
        <v>21</v>
      </c>
      <c r="B16">
        <v>53.7</v>
      </c>
      <c r="C16">
        <v>108.8</v>
      </c>
      <c r="D16">
        <v>53.7</v>
      </c>
      <c r="E16">
        <v>87.6</v>
      </c>
      <c r="F16">
        <v>29.1</v>
      </c>
    </row>
    <row r="17" spans="1:6" x14ac:dyDescent="0.25">
      <c r="A17" s="49" t="s">
        <v>20</v>
      </c>
      <c r="B17">
        <v>52.3</v>
      </c>
      <c r="C17">
        <v>106.1</v>
      </c>
      <c r="D17">
        <v>52.3</v>
      </c>
      <c r="E17">
        <v>85.4</v>
      </c>
      <c r="F17">
        <v>28.5</v>
      </c>
    </row>
    <row r="18" spans="1:6" x14ac:dyDescent="0.25">
      <c r="A18" s="49" t="s">
        <v>9</v>
      </c>
      <c r="B18">
        <v>11</v>
      </c>
      <c r="C18">
        <v>22.5</v>
      </c>
      <c r="D18">
        <v>11</v>
      </c>
      <c r="E18">
        <v>18</v>
      </c>
      <c r="F18">
        <v>6.6</v>
      </c>
    </row>
    <row r="19" spans="1:6" x14ac:dyDescent="0.25">
      <c r="A19" s="49" t="s">
        <v>33</v>
      </c>
      <c r="B19">
        <v>75</v>
      </c>
      <c r="C19">
        <v>151.5</v>
      </c>
      <c r="D19">
        <v>75</v>
      </c>
      <c r="E19">
        <v>124.4</v>
      </c>
      <c r="F19">
        <v>41.5</v>
      </c>
    </row>
    <row r="20" spans="1:6" x14ac:dyDescent="0.25">
      <c r="A20" s="49" t="s">
        <v>22</v>
      </c>
      <c r="B20">
        <v>57</v>
      </c>
      <c r="C20">
        <v>115.1</v>
      </c>
      <c r="D20">
        <v>57</v>
      </c>
      <c r="E20">
        <v>92.1</v>
      </c>
      <c r="F20">
        <v>30.7</v>
      </c>
    </row>
    <row r="21" spans="1:6" x14ac:dyDescent="0.25">
      <c r="A21" s="49" t="s">
        <v>35</v>
      </c>
      <c r="B21">
        <v>81.8</v>
      </c>
      <c r="C21">
        <v>165.3</v>
      </c>
      <c r="D21">
        <v>81.8</v>
      </c>
      <c r="E21">
        <v>133.4</v>
      </c>
      <c r="F21">
        <v>44.5</v>
      </c>
    </row>
    <row r="22" spans="1:6" x14ac:dyDescent="0.25">
      <c r="A22" s="49" t="s">
        <v>36</v>
      </c>
      <c r="B22">
        <v>86.4</v>
      </c>
      <c r="C22">
        <v>174.2</v>
      </c>
      <c r="D22">
        <v>86.4</v>
      </c>
      <c r="E22">
        <v>142.5</v>
      </c>
      <c r="F22">
        <v>47.3</v>
      </c>
    </row>
    <row r="23" spans="1:6" x14ac:dyDescent="0.25">
      <c r="A23" s="49" t="s">
        <v>32</v>
      </c>
      <c r="B23">
        <v>-1</v>
      </c>
      <c r="C23">
        <v>-1</v>
      </c>
      <c r="D23">
        <v>-1</v>
      </c>
      <c r="E23">
        <v>-1</v>
      </c>
      <c r="F23">
        <v>-1</v>
      </c>
    </row>
    <row r="24" spans="1:6" x14ac:dyDescent="0.25">
      <c r="A24" s="49" t="s">
        <v>24</v>
      </c>
      <c r="B24">
        <v>63.6</v>
      </c>
      <c r="C24">
        <v>128.6</v>
      </c>
      <c r="D24">
        <v>63.6</v>
      </c>
      <c r="E24">
        <v>106.1</v>
      </c>
      <c r="F24">
        <v>34.700000000000003</v>
      </c>
    </row>
    <row r="25" spans="1:6" x14ac:dyDescent="0.25">
      <c r="A25" s="49" t="s">
        <v>31</v>
      </c>
      <c r="B25">
        <v>79.400000000000006</v>
      </c>
      <c r="C25">
        <v>160.9</v>
      </c>
      <c r="D25">
        <v>79.400000000000006</v>
      </c>
      <c r="E25">
        <v>133.4</v>
      </c>
      <c r="F25">
        <v>45</v>
      </c>
    </row>
    <row r="26" spans="1:6" x14ac:dyDescent="0.25">
      <c r="A26" s="49" t="s">
        <v>10</v>
      </c>
      <c r="B26">
        <v>12.8</v>
      </c>
      <c r="C26">
        <v>26.1</v>
      </c>
      <c r="D26">
        <v>12.8</v>
      </c>
      <c r="E26">
        <v>21.5</v>
      </c>
      <c r="F26">
        <v>7.1</v>
      </c>
    </row>
    <row r="27" spans="1:6" x14ac:dyDescent="0.25">
      <c r="A27" s="49" t="s">
        <v>27</v>
      </c>
      <c r="B27">
        <v>72.8</v>
      </c>
      <c r="C27">
        <v>146.80000000000001</v>
      </c>
      <c r="D27">
        <v>72.8</v>
      </c>
      <c r="E27">
        <v>119.4</v>
      </c>
      <c r="F27">
        <v>40.1</v>
      </c>
    </row>
    <row r="28" spans="1:6" x14ac:dyDescent="0.25">
      <c r="A28" s="49" t="s">
        <v>8</v>
      </c>
      <c r="B28">
        <v>8.1</v>
      </c>
      <c r="C28">
        <v>17</v>
      </c>
      <c r="D28">
        <v>8.1</v>
      </c>
      <c r="E28">
        <v>13.3</v>
      </c>
      <c r="F28">
        <v>4.9000000000000004</v>
      </c>
    </row>
    <row r="29" spans="1:6" x14ac:dyDescent="0.25">
      <c r="A29" s="49" t="s">
        <v>37</v>
      </c>
      <c r="B29">
        <v>90.9</v>
      </c>
      <c r="C29">
        <v>183.5</v>
      </c>
      <c r="D29">
        <v>90.9</v>
      </c>
      <c r="E29">
        <v>146.80000000000001</v>
      </c>
      <c r="F29">
        <v>49.1</v>
      </c>
    </row>
    <row r="30" spans="1:6" x14ac:dyDescent="0.25">
      <c r="A30" s="49" t="s">
        <v>34</v>
      </c>
      <c r="B30">
        <v>79.400000000000006</v>
      </c>
      <c r="C30">
        <v>160.9</v>
      </c>
      <c r="D30">
        <v>79.400000000000006</v>
      </c>
      <c r="E30">
        <v>128.6</v>
      </c>
      <c r="F30">
        <v>43.3</v>
      </c>
    </row>
    <row r="31" spans="1:6" x14ac:dyDescent="0.25">
      <c r="A31" s="49" t="s">
        <v>23</v>
      </c>
      <c r="B31">
        <v>61.4</v>
      </c>
      <c r="C31">
        <v>124.4</v>
      </c>
      <c r="D31">
        <v>61.4</v>
      </c>
      <c r="E31">
        <v>101.3</v>
      </c>
      <c r="F31">
        <v>33.799999999999997</v>
      </c>
    </row>
    <row r="32" spans="1:6" x14ac:dyDescent="0.25">
      <c r="A32" s="49" t="s">
        <v>41</v>
      </c>
      <c r="B32">
        <v>68.7</v>
      </c>
      <c r="C32">
        <v>138.80000000000001</v>
      </c>
      <c r="D32">
        <v>68.7</v>
      </c>
      <c r="E32">
        <v>115.5</v>
      </c>
      <c r="F32">
        <v>38</v>
      </c>
    </row>
    <row r="33" spans="1:6" x14ac:dyDescent="0.25">
      <c r="A33" s="49" t="s">
        <v>42</v>
      </c>
      <c r="B33">
        <v>89</v>
      </c>
      <c r="C33">
        <v>179.8</v>
      </c>
      <c r="D33">
        <v>89</v>
      </c>
      <c r="E33">
        <v>145.5</v>
      </c>
      <c r="F33">
        <v>48.3</v>
      </c>
    </row>
    <row r="34" spans="1:6" x14ac:dyDescent="0.25">
      <c r="A34" s="49" t="s">
        <v>12</v>
      </c>
      <c r="B34">
        <v>21.3</v>
      </c>
      <c r="C34">
        <v>43</v>
      </c>
      <c r="D34">
        <v>21.3</v>
      </c>
      <c r="E34">
        <v>35.200000000000003</v>
      </c>
      <c r="F34">
        <v>11.6</v>
      </c>
    </row>
    <row r="35" spans="1:6" x14ac:dyDescent="0.25">
      <c r="A35" s="49" t="s">
        <v>58</v>
      </c>
      <c r="B35">
        <v>-1</v>
      </c>
      <c r="C35">
        <v>-1</v>
      </c>
      <c r="D35">
        <v>-1</v>
      </c>
      <c r="E35">
        <v>-1</v>
      </c>
      <c r="F35">
        <v>-1</v>
      </c>
    </row>
    <row r="36" spans="1:6" x14ac:dyDescent="0.25">
      <c r="A36" s="49" t="s">
        <v>26</v>
      </c>
      <c r="B36">
        <v>70.400000000000006</v>
      </c>
      <c r="C36">
        <v>142.5</v>
      </c>
      <c r="D36">
        <v>70.400000000000006</v>
      </c>
      <c r="E36">
        <v>119.4</v>
      </c>
      <c r="F36">
        <v>38.700000000000003</v>
      </c>
    </row>
    <row r="37" spans="1:6" x14ac:dyDescent="0.25">
      <c r="A37" s="49" t="s">
        <v>57</v>
      </c>
      <c r="B37">
        <v>75</v>
      </c>
      <c r="C37">
        <v>151.5</v>
      </c>
      <c r="D37">
        <v>75</v>
      </c>
      <c r="E37">
        <v>124.4</v>
      </c>
      <c r="F37">
        <v>41.3</v>
      </c>
    </row>
    <row r="38" spans="1:6" x14ac:dyDescent="0.25">
      <c r="A38" s="49" t="s">
        <v>40</v>
      </c>
      <c r="B38">
        <v>4.2</v>
      </c>
      <c r="C38">
        <v>8.9</v>
      </c>
      <c r="D38">
        <v>4.2</v>
      </c>
      <c r="E38">
        <v>7.6</v>
      </c>
      <c r="F38">
        <v>2.7</v>
      </c>
    </row>
    <row r="39" spans="1:6" x14ac:dyDescent="0.25">
      <c r="A39" s="49" t="s">
        <v>38</v>
      </c>
      <c r="B39">
        <v>93.1</v>
      </c>
      <c r="C39">
        <v>188.1</v>
      </c>
      <c r="D39">
        <v>93.1</v>
      </c>
      <c r="E39">
        <v>151.5</v>
      </c>
      <c r="F39">
        <v>50.6</v>
      </c>
    </row>
    <row r="40" spans="1:6" x14ac:dyDescent="0.25">
      <c r="A40" s="49" t="s">
        <v>29</v>
      </c>
      <c r="B40">
        <v>75</v>
      </c>
      <c r="C40">
        <v>151.5</v>
      </c>
      <c r="D40">
        <v>75</v>
      </c>
      <c r="E40">
        <v>124.4</v>
      </c>
      <c r="F40">
        <v>42.3</v>
      </c>
    </row>
    <row r="41" spans="1:6" x14ac:dyDescent="0.25">
      <c r="A41" s="49" t="s">
        <v>16</v>
      </c>
      <c r="B41">
        <v>40.1</v>
      </c>
      <c r="C41">
        <v>76.599999999999994</v>
      </c>
      <c r="D41">
        <v>40.1</v>
      </c>
      <c r="E41">
        <v>61.5</v>
      </c>
      <c r="F41">
        <v>21.9</v>
      </c>
    </row>
    <row r="42" spans="1:6" x14ac:dyDescent="0.25">
      <c r="A42" s="49" t="s">
        <v>39</v>
      </c>
      <c r="B42">
        <v>93.1</v>
      </c>
      <c r="C42">
        <v>188.1</v>
      </c>
      <c r="D42">
        <v>93.1</v>
      </c>
      <c r="E42">
        <v>156.4</v>
      </c>
      <c r="F42">
        <v>51.8</v>
      </c>
    </row>
    <row r="43" spans="1:6" x14ac:dyDescent="0.25">
      <c r="A43" s="49" t="s">
        <v>179</v>
      </c>
    </row>
    <row r="44" spans="1:6" x14ac:dyDescent="0.25">
      <c r="A44" s="49" t="s">
        <v>180</v>
      </c>
      <c r="B44">
        <v>1886.3</v>
      </c>
      <c r="C44">
        <v>3813.8</v>
      </c>
      <c r="D44">
        <v>1886.3</v>
      </c>
      <c r="E44">
        <v>3117.3</v>
      </c>
      <c r="F44">
        <v>1039.7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Y43"/>
  <sheetViews>
    <sheetView zoomScaleNormal="100" workbookViewId="0">
      <pane ySplit="1" topLeftCell="A2" activePane="bottomLeft" state="frozen"/>
      <selection activeCell="E1" sqref="E1"/>
      <selection pane="bottomLeft" activeCell="D10" sqref="D10"/>
    </sheetView>
  </sheetViews>
  <sheetFormatPr defaultColWidth="16.77734375" defaultRowHeight="14.4" x14ac:dyDescent="0.3"/>
  <cols>
    <col min="1" max="3" width="16.77734375" style="35"/>
    <col min="4" max="4" width="16.77734375" style="36"/>
    <col min="5" max="5" width="16.77734375" style="35"/>
    <col min="6" max="6" width="16.77734375" style="36"/>
    <col min="7" max="16384" width="16.77734375" style="35"/>
  </cols>
  <sheetData>
    <row r="1" spans="1:25" s="34" customFormat="1" ht="14.7" customHeight="1" x14ac:dyDescent="0.3">
      <c r="A1" s="37" t="s">
        <v>64</v>
      </c>
      <c r="B1" s="37" t="s">
        <v>43</v>
      </c>
      <c r="C1" s="37" t="s">
        <v>0</v>
      </c>
      <c r="D1" s="38" t="s">
        <v>1</v>
      </c>
      <c r="E1" s="37" t="s">
        <v>2</v>
      </c>
      <c r="F1" s="38" t="s">
        <v>3</v>
      </c>
      <c r="G1" s="39" t="s">
        <v>79</v>
      </c>
      <c r="H1" s="39" t="s">
        <v>65</v>
      </c>
      <c r="I1" s="39" t="s">
        <v>66</v>
      </c>
      <c r="J1" s="40" t="s">
        <v>67</v>
      </c>
      <c r="K1" s="40" t="s">
        <v>68</v>
      </c>
      <c r="L1" s="40" t="s">
        <v>69</v>
      </c>
      <c r="M1" s="39" t="s">
        <v>70</v>
      </c>
      <c r="N1" s="39" t="s">
        <v>71</v>
      </c>
      <c r="O1" s="39" t="s">
        <v>72</v>
      </c>
      <c r="P1" s="40" t="s">
        <v>73</v>
      </c>
      <c r="Q1" s="40" t="s">
        <v>74</v>
      </c>
      <c r="R1" s="40" t="s">
        <v>75</v>
      </c>
      <c r="S1" s="39" t="s">
        <v>80</v>
      </c>
      <c r="T1" s="39" t="s">
        <v>76</v>
      </c>
      <c r="U1" s="40" t="s">
        <v>81</v>
      </c>
      <c r="V1" s="40" t="s">
        <v>77</v>
      </c>
      <c r="W1" s="40" t="s">
        <v>78</v>
      </c>
      <c r="X1" s="41" t="s">
        <v>104</v>
      </c>
      <c r="Y1" s="47" t="s">
        <v>175</v>
      </c>
    </row>
    <row r="2" spans="1:25" x14ac:dyDescent="0.3">
      <c r="A2" s="42" t="s">
        <v>40</v>
      </c>
      <c r="B2" s="42">
        <v>20000</v>
      </c>
      <c r="C2" s="42" t="s">
        <v>5</v>
      </c>
      <c r="D2" s="43">
        <v>0</v>
      </c>
      <c r="E2" s="42" t="s">
        <v>6</v>
      </c>
      <c r="F2" s="43">
        <v>0.99998842592592596</v>
      </c>
      <c r="G2" s="42">
        <v>2.7</v>
      </c>
      <c r="H2" s="42">
        <v>3.6</v>
      </c>
      <c r="I2" s="42">
        <v>4.2</v>
      </c>
      <c r="J2" s="42">
        <v>-1</v>
      </c>
      <c r="K2" s="42">
        <v>-1</v>
      </c>
      <c r="L2" s="42">
        <v>-1</v>
      </c>
      <c r="M2" s="42">
        <v>5.3</v>
      </c>
      <c r="N2" s="42">
        <v>7.6</v>
      </c>
      <c r="O2" s="42">
        <v>8.9</v>
      </c>
      <c r="P2" s="42">
        <v>2.7</v>
      </c>
      <c r="Q2" s="42">
        <v>3.6</v>
      </c>
      <c r="R2" s="42">
        <v>4.2</v>
      </c>
      <c r="S2" s="42">
        <v>7.6</v>
      </c>
      <c r="T2" s="42">
        <v>8.9</v>
      </c>
      <c r="U2" s="42">
        <v>3.6</v>
      </c>
      <c r="V2" s="42">
        <v>4.2</v>
      </c>
      <c r="W2" s="42">
        <v>4.2</v>
      </c>
      <c r="X2" s="44">
        <v>45051</v>
      </c>
      <c r="Y2" s="42" t="str">
        <f>TEXT(X2,"yyyy-mm-dd")</f>
        <v>2023-05-05</v>
      </c>
    </row>
    <row r="3" spans="1:25" x14ac:dyDescent="0.3">
      <c r="A3" s="42" t="s">
        <v>4</v>
      </c>
      <c r="B3" s="42">
        <v>20002</v>
      </c>
      <c r="C3" s="42" t="s">
        <v>5</v>
      </c>
      <c r="D3" s="43">
        <v>0</v>
      </c>
      <c r="E3" s="42" t="s">
        <v>6</v>
      </c>
      <c r="F3" s="43">
        <v>0.99998842592592596</v>
      </c>
      <c r="G3" s="42">
        <v>2.7</v>
      </c>
      <c r="H3" s="42">
        <v>3.6</v>
      </c>
      <c r="I3" s="42">
        <v>4.2</v>
      </c>
      <c r="J3" s="42">
        <v>-1</v>
      </c>
      <c r="K3" s="42">
        <v>-1</v>
      </c>
      <c r="L3" s="42">
        <v>-1</v>
      </c>
      <c r="M3" s="42">
        <v>5.3</v>
      </c>
      <c r="N3" s="42">
        <v>7.6</v>
      </c>
      <c r="O3" s="42">
        <v>8.9</v>
      </c>
      <c r="P3" s="42">
        <v>2.7</v>
      </c>
      <c r="Q3" s="42">
        <v>3.6</v>
      </c>
      <c r="R3" s="42">
        <v>4.2</v>
      </c>
      <c r="S3" s="42">
        <v>7.6</v>
      </c>
      <c r="T3" s="42">
        <v>8.9</v>
      </c>
      <c r="U3" s="42">
        <v>3.6</v>
      </c>
      <c r="V3" s="42">
        <v>4.2</v>
      </c>
      <c r="W3" s="42">
        <v>4.2</v>
      </c>
      <c r="X3" s="44">
        <v>45048</v>
      </c>
      <c r="Y3" s="42" t="str">
        <f t="shared" ref="Y3:Y40" si="0">TEXT(X3,"yyyy-mm-dd")</f>
        <v>2023-05-02</v>
      </c>
    </row>
    <row r="4" spans="1:25" x14ac:dyDescent="0.3">
      <c r="A4" s="42" t="s">
        <v>7</v>
      </c>
      <c r="B4" s="42">
        <v>20004</v>
      </c>
      <c r="C4" s="42" t="s">
        <v>5</v>
      </c>
      <c r="D4" s="43">
        <v>0</v>
      </c>
      <c r="E4" s="42" t="s">
        <v>6</v>
      </c>
      <c r="F4" s="43">
        <v>0.99998842592592596</v>
      </c>
      <c r="G4" s="42">
        <v>3.6</v>
      </c>
      <c r="H4" s="42">
        <v>5.4</v>
      </c>
      <c r="I4" s="42">
        <v>5.8</v>
      </c>
      <c r="J4" s="42">
        <v>-1</v>
      </c>
      <c r="K4" s="42">
        <v>-1</v>
      </c>
      <c r="L4" s="42">
        <v>-1</v>
      </c>
      <c r="M4" s="42">
        <v>7.6</v>
      </c>
      <c r="N4" s="42">
        <v>11.1</v>
      </c>
      <c r="O4" s="42">
        <v>12.2</v>
      </c>
      <c r="P4" s="42">
        <v>3.6</v>
      </c>
      <c r="Q4" s="42">
        <v>5.4</v>
      </c>
      <c r="R4" s="42">
        <v>5.8</v>
      </c>
      <c r="S4" s="42">
        <v>11.1</v>
      </c>
      <c r="T4" s="42">
        <v>12.2</v>
      </c>
      <c r="U4" s="42">
        <v>5.4</v>
      </c>
      <c r="V4" s="42">
        <v>5.8</v>
      </c>
      <c r="W4" s="42">
        <v>5.8</v>
      </c>
      <c r="X4" s="44">
        <v>45055</v>
      </c>
      <c r="Y4" s="42" t="str">
        <f t="shared" si="0"/>
        <v>2023-05-09</v>
      </c>
    </row>
    <row r="5" spans="1:25" x14ac:dyDescent="0.3">
      <c r="A5" s="42" t="s">
        <v>8</v>
      </c>
      <c r="B5" s="42">
        <v>20006</v>
      </c>
      <c r="C5" s="42" t="s">
        <v>5</v>
      </c>
      <c r="D5" s="43">
        <v>0</v>
      </c>
      <c r="E5" s="42" t="s">
        <v>6</v>
      </c>
      <c r="F5" s="43">
        <v>0.99998842592592596</v>
      </c>
      <c r="G5" s="42">
        <v>4.9000000000000004</v>
      </c>
      <c r="H5" s="42">
        <v>6.6</v>
      </c>
      <c r="I5" s="42">
        <v>8.1</v>
      </c>
      <c r="J5" s="42">
        <v>-1</v>
      </c>
      <c r="K5" s="42">
        <v>-1</v>
      </c>
      <c r="L5" s="42">
        <v>-1</v>
      </c>
      <c r="M5" s="42">
        <v>10</v>
      </c>
      <c r="N5" s="42">
        <v>13.3</v>
      </c>
      <c r="O5" s="42">
        <v>17</v>
      </c>
      <c r="P5" s="42">
        <v>4.9000000000000004</v>
      </c>
      <c r="Q5" s="42">
        <v>6.6</v>
      </c>
      <c r="R5" s="42">
        <v>8.1</v>
      </c>
      <c r="S5" s="42">
        <v>13.3</v>
      </c>
      <c r="T5" s="42">
        <v>17</v>
      </c>
      <c r="U5" s="42">
        <v>6.6</v>
      </c>
      <c r="V5" s="42">
        <v>8.1</v>
      </c>
      <c r="W5" s="42">
        <v>8.1</v>
      </c>
      <c r="X5" s="44">
        <v>45059</v>
      </c>
      <c r="Y5" s="42" t="str">
        <f t="shared" si="0"/>
        <v>2023-05-13</v>
      </c>
    </row>
    <row r="6" spans="1:25" x14ac:dyDescent="0.3">
      <c r="A6" s="42" t="s">
        <v>9</v>
      </c>
      <c r="B6" s="42">
        <v>20008</v>
      </c>
      <c r="C6" s="42" t="s">
        <v>5</v>
      </c>
      <c r="D6" s="43">
        <v>0</v>
      </c>
      <c r="E6" s="42" t="s">
        <v>6</v>
      </c>
      <c r="F6" s="43">
        <v>0.99998842592592596</v>
      </c>
      <c r="G6" s="42">
        <v>6.6</v>
      </c>
      <c r="H6" s="42">
        <v>8.8000000000000007</v>
      </c>
      <c r="I6" s="42">
        <v>11</v>
      </c>
      <c r="J6" s="42">
        <v>-1</v>
      </c>
      <c r="K6" s="42">
        <v>-1</v>
      </c>
      <c r="L6" s="42">
        <v>-1</v>
      </c>
      <c r="M6" s="42">
        <v>13.3</v>
      </c>
      <c r="N6" s="42">
        <v>18</v>
      </c>
      <c r="O6" s="42">
        <v>22.5</v>
      </c>
      <c r="P6" s="42">
        <v>6.6</v>
      </c>
      <c r="Q6" s="42">
        <v>8.8000000000000007</v>
      </c>
      <c r="R6" s="42">
        <v>11</v>
      </c>
      <c r="S6" s="42">
        <v>18</v>
      </c>
      <c r="T6" s="42">
        <v>22.5</v>
      </c>
      <c r="U6" s="42">
        <v>8.8000000000000007</v>
      </c>
      <c r="V6" s="42">
        <v>11</v>
      </c>
      <c r="W6" s="42">
        <v>11</v>
      </c>
      <c r="X6" s="44">
        <v>45076</v>
      </c>
      <c r="Y6" s="42" t="str">
        <f t="shared" si="0"/>
        <v>2023-05-30</v>
      </c>
    </row>
    <row r="7" spans="1:25" x14ac:dyDescent="0.3">
      <c r="A7" s="42" t="s">
        <v>10</v>
      </c>
      <c r="B7" s="42">
        <v>20010</v>
      </c>
      <c r="C7" s="42" t="s">
        <v>5</v>
      </c>
      <c r="D7" s="43">
        <v>0</v>
      </c>
      <c r="E7" s="42" t="s">
        <v>6</v>
      </c>
      <c r="F7" s="43">
        <v>0.99998842592592596</v>
      </c>
      <c r="G7" s="42">
        <v>7.1</v>
      </c>
      <c r="H7" s="42">
        <v>10.4</v>
      </c>
      <c r="I7" s="42">
        <v>12.8</v>
      </c>
      <c r="J7" s="42">
        <v>-1</v>
      </c>
      <c r="K7" s="42">
        <v>-1</v>
      </c>
      <c r="L7" s="42">
        <v>-1</v>
      </c>
      <c r="M7" s="42">
        <v>14.4</v>
      </c>
      <c r="N7" s="42">
        <v>21.5</v>
      </c>
      <c r="O7" s="42">
        <v>26.1</v>
      </c>
      <c r="P7" s="42">
        <v>7.1</v>
      </c>
      <c r="Q7" s="42">
        <v>10.4</v>
      </c>
      <c r="R7" s="42">
        <v>12.8</v>
      </c>
      <c r="S7" s="42">
        <v>21.5</v>
      </c>
      <c r="T7" s="42">
        <v>26.1</v>
      </c>
      <c r="U7" s="42">
        <v>10.4</v>
      </c>
      <c r="V7" s="42">
        <v>12.8</v>
      </c>
      <c r="W7" s="42">
        <v>12.8</v>
      </c>
      <c r="X7" s="44">
        <v>45057</v>
      </c>
      <c r="Y7" s="42" t="str">
        <f t="shared" si="0"/>
        <v>2023-05-11</v>
      </c>
    </row>
    <row r="8" spans="1:25" x14ac:dyDescent="0.3">
      <c r="A8" s="42" t="s">
        <v>11</v>
      </c>
      <c r="B8" s="42">
        <v>20012</v>
      </c>
      <c r="C8" s="42" t="s">
        <v>5</v>
      </c>
      <c r="D8" s="43">
        <v>0</v>
      </c>
      <c r="E8" s="42" t="s">
        <v>6</v>
      </c>
      <c r="F8" s="43">
        <v>0.99998842592592596</v>
      </c>
      <c r="G8" s="42">
        <v>9.4</v>
      </c>
      <c r="H8" s="42">
        <v>13.8</v>
      </c>
      <c r="I8" s="42">
        <v>16.100000000000001</v>
      </c>
      <c r="J8" s="42">
        <v>-1</v>
      </c>
      <c r="K8" s="42">
        <v>-1</v>
      </c>
      <c r="L8" s="42">
        <v>-1</v>
      </c>
      <c r="M8" s="42">
        <v>19.2</v>
      </c>
      <c r="N8" s="42">
        <v>28.3</v>
      </c>
      <c r="O8" s="42">
        <v>32.799999999999997</v>
      </c>
      <c r="P8" s="42">
        <v>9.4</v>
      </c>
      <c r="Q8" s="42">
        <v>13.8</v>
      </c>
      <c r="R8" s="42">
        <v>16.100000000000001</v>
      </c>
      <c r="S8" s="42">
        <v>28.3</v>
      </c>
      <c r="T8" s="42">
        <v>32.799999999999997</v>
      </c>
      <c r="U8" s="42">
        <v>13.8</v>
      </c>
      <c r="V8" s="42">
        <v>16.100000000000001</v>
      </c>
      <c r="W8" s="42">
        <v>16.100000000000001</v>
      </c>
      <c r="X8" s="44">
        <v>45052</v>
      </c>
      <c r="Y8" s="42" t="str">
        <f t="shared" si="0"/>
        <v>2023-05-06</v>
      </c>
    </row>
    <row r="9" spans="1:25" x14ac:dyDescent="0.3">
      <c r="A9" s="42" t="s">
        <v>12</v>
      </c>
      <c r="B9" s="42">
        <v>20014</v>
      </c>
      <c r="C9" s="42" t="s">
        <v>5</v>
      </c>
      <c r="D9" s="43">
        <v>0</v>
      </c>
      <c r="E9" s="42" t="s">
        <v>6</v>
      </c>
      <c r="F9" s="43">
        <v>0.99998842592592596</v>
      </c>
      <c r="G9" s="42">
        <v>11.6</v>
      </c>
      <c r="H9" s="42">
        <v>17.3</v>
      </c>
      <c r="I9" s="42">
        <v>21.3</v>
      </c>
      <c r="J9" s="42">
        <v>-1</v>
      </c>
      <c r="K9" s="42">
        <v>-1</v>
      </c>
      <c r="L9" s="42">
        <v>-1</v>
      </c>
      <c r="M9" s="42">
        <v>23.6</v>
      </c>
      <c r="N9" s="42">
        <v>35.200000000000003</v>
      </c>
      <c r="O9" s="42">
        <v>43</v>
      </c>
      <c r="P9" s="42">
        <v>11.6</v>
      </c>
      <c r="Q9" s="42">
        <v>17.3</v>
      </c>
      <c r="R9" s="42">
        <v>21.3</v>
      </c>
      <c r="S9" s="42">
        <v>35.200000000000003</v>
      </c>
      <c r="T9" s="42">
        <v>43</v>
      </c>
      <c r="U9" s="42">
        <v>17.3</v>
      </c>
      <c r="V9" s="42">
        <v>21.3</v>
      </c>
      <c r="W9" s="42">
        <v>21.3</v>
      </c>
      <c r="X9" s="44">
        <v>45098</v>
      </c>
      <c r="Y9" s="42" t="str">
        <f t="shared" si="0"/>
        <v>2023-06-21</v>
      </c>
    </row>
    <row r="10" spans="1:25" x14ac:dyDescent="0.3">
      <c r="A10" s="42" t="s">
        <v>13</v>
      </c>
      <c r="B10" s="42">
        <v>20016</v>
      </c>
      <c r="C10" s="42" t="s">
        <v>5</v>
      </c>
      <c r="D10" s="43">
        <v>0</v>
      </c>
      <c r="E10" s="42" t="s">
        <v>6</v>
      </c>
      <c r="F10" s="43">
        <v>0.99998842592592596</v>
      </c>
      <c r="G10" s="42">
        <v>16.100000000000001</v>
      </c>
      <c r="H10" s="42">
        <v>24.1</v>
      </c>
      <c r="I10" s="42">
        <v>29.1</v>
      </c>
      <c r="J10" s="42">
        <v>-1</v>
      </c>
      <c r="K10" s="42">
        <v>-1</v>
      </c>
      <c r="L10" s="42">
        <v>-1</v>
      </c>
      <c r="M10" s="42">
        <v>32.799999999999997</v>
      </c>
      <c r="N10" s="42">
        <v>49</v>
      </c>
      <c r="O10" s="42">
        <v>59</v>
      </c>
      <c r="P10" s="42">
        <v>16.100000000000001</v>
      </c>
      <c r="Q10" s="42">
        <v>24.1</v>
      </c>
      <c r="R10" s="42">
        <v>29.1</v>
      </c>
      <c r="S10" s="42">
        <v>49</v>
      </c>
      <c r="T10" s="42">
        <v>59</v>
      </c>
      <c r="U10" s="42">
        <v>24.1</v>
      </c>
      <c r="V10" s="42">
        <v>29.1</v>
      </c>
      <c r="W10" s="42">
        <v>29.1</v>
      </c>
      <c r="X10" s="44">
        <v>45092</v>
      </c>
      <c r="Y10" s="42" t="str">
        <f t="shared" si="0"/>
        <v>2023-06-15</v>
      </c>
    </row>
    <row r="11" spans="1:25" x14ac:dyDescent="0.3">
      <c r="A11" s="42" t="s">
        <v>14</v>
      </c>
      <c r="B11" s="42">
        <v>20018</v>
      </c>
      <c r="C11" s="42" t="s">
        <v>5</v>
      </c>
      <c r="D11" s="43">
        <v>0</v>
      </c>
      <c r="E11" s="42" t="s">
        <v>6</v>
      </c>
      <c r="F11" s="43">
        <v>0.99998842592592596</v>
      </c>
      <c r="G11" s="42">
        <v>18.399999999999999</v>
      </c>
      <c r="H11" s="42">
        <v>27.5</v>
      </c>
      <c r="I11" s="42">
        <v>33.799999999999997</v>
      </c>
      <c r="J11" s="42">
        <v>-1</v>
      </c>
      <c r="K11" s="42">
        <v>-1</v>
      </c>
      <c r="L11" s="42">
        <v>-1</v>
      </c>
      <c r="M11" s="42">
        <v>37.200000000000003</v>
      </c>
      <c r="N11" s="42">
        <v>55.6</v>
      </c>
      <c r="O11" s="42">
        <v>67.900000000000006</v>
      </c>
      <c r="P11" s="42">
        <v>18.399999999999999</v>
      </c>
      <c r="Q11" s="42">
        <v>27.5</v>
      </c>
      <c r="R11" s="42">
        <v>33.799999999999997</v>
      </c>
      <c r="S11" s="42">
        <v>55.6</v>
      </c>
      <c r="T11" s="42">
        <v>67.900000000000006</v>
      </c>
      <c r="U11" s="42">
        <v>27.5</v>
      </c>
      <c r="V11" s="42">
        <v>33.799999999999997</v>
      </c>
      <c r="W11" s="42">
        <v>33.799999999999997</v>
      </c>
      <c r="X11" s="44">
        <v>45104</v>
      </c>
      <c r="Y11" s="42" t="str">
        <f t="shared" si="0"/>
        <v>2023-06-27</v>
      </c>
    </row>
    <row r="12" spans="1:25" x14ac:dyDescent="0.3">
      <c r="A12" s="42" t="s">
        <v>15</v>
      </c>
      <c r="B12" s="42">
        <v>20020</v>
      </c>
      <c r="C12" s="42" t="s">
        <v>5</v>
      </c>
      <c r="D12" s="43">
        <v>0</v>
      </c>
      <c r="E12" s="42" t="s">
        <v>6</v>
      </c>
      <c r="F12" s="43">
        <v>0.99998842592592596</v>
      </c>
      <c r="G12" s="42">
        <v>0</v>
      </c>
      <c r="H12" s="42">
        <v>0</v>
      </c>
      <c r="I12" s="42">
        <v>0</v>
      </c>
      <c r="J12" s="42">
        <v>0</v>
      </c>
      <c r="K12" s="42">
        <v>0</v>
      </c>
      <c r="L12" s="42">
        <v>0</v>
      </c>
      <c r="M12" s="42">
        <v>0</v>
      </c>
      <c r="N12" s="42">
        <v>0</v>
      </c>
      <c r="O12" s="42">
        <v>0</v>
      </c>
      <c r="P12" s="42">
        <v>0</v>
      </c>
      <c r="Q12" s="42">
        <v>0</v>
      </c>
      <c r="R12" s="42">
        <v>0</v>
      </c>
      <c r="S12" s="42">
        <v>0</v>
      </c>
      <c r="T12" s="42">
        <v>0</v>
      </c>
      <c r="U12" s="42">
        <v>0</v>
      </c>
      <c r="V12" s="42">
        <v>0</v>
      </c>
      <c r="W12" s="42">
        <v>0</v>
      </c>
      <c r="X12" s="44">
        <v>45116</v>
      </c>
      <c r="Y12" s="42" t="str">
        <f t="shared" si="0"/>
        <v>2023-07-09</v>
      </c>
    </row>
    <row r="13" spans="1:25" x14ac:dyDescent="0.3">
      <c r="A13" s="42" t="s">
        <v>16</v>
      </c>
      <c r="B13" s="42">
        <v>20022</v>
      </c>
      <c r="C13" s="42" t="s">
        <v>5</v>
      </c>
      <c r="D13" s="43">
        <v>0</v>
      </c>
      <c r="E13" s="42" t="s">
        <v>6</v>
      </c>
      <c r="F13" s="43">
        <v>0.99998842592592596</v>
      </c>
      <c r="G13" s="42">
        <v>21.9</v>
      </c>
      <c r="H13" s="42">
        <v>32.1</v>
      </c>
      <c r="I13" s="42">
        <v>40.1</v>
      </c>
      <c r="J13" s="42">
        <v>-1</v>
      </c>
      <c r="K13" s="42">
        <v>-1</v>
      </c>
      <c r="L13" s="42">
        <v>-1</v>
      </c>
      <c r="M13" s="42">
        <v>42.3</v>
      </c>
      <c r="N13" s="42">
        <v>61.5</v>
      </c>
      <c r="O13" s="42">
        <v>76.599999999999994</v>
      </c>
      <c r="P13" s="42">
        <v>21.9</v>
      </c>
      <c r="Q13" s="42">
        <v>32.1</v>
      </c>
      <c r="R13" s="42">
        <v>40.1</v>
      </c>
      <c r="S13" s="42">
        <v>61.5</v>
      </c>
      <c r="T13" s="42">
        <v>76.599999999999994</v>
      </c>
      <c r="U13" s="42">
        <v>32.1</v>
      </c>
      <c r="V13" s="42">
        <v>40.1</v>
      </c>
      <c r="W13" s="42">
        <v>40.1</v>
      </c>
      <c r="X13" s="44">
        <v>45110</v>
      </c>
      <c r="Y13" s="42" t="str">
        <f t="shared" si="0"/>
        <v>2023-07-03</v>
      </c>
    </row>
    <row r="14" spans="1:25" x14ac:dyDescent="0.3">
      <c r="A14" s="42" t="s">
        <v>17</v>
      </c>
      <c r="B14" s="42">
        <v>20024</v>
      </c>
      <c r="C14" s="42" t="s">
        <v>5</v>
      </c>
      <c r="D14" s="43">
        <v>0</v>
      </c>
      <c r="E14" s="42" t="s">
        <v>6</v>
      </c>
      <c r="F14" s="43">
        <v>0.99998842592592596</v>
      </c>
      <c r="G14" s="42">
        <v>23.5</v>
      </c>
      <c r="H14" s="42">
        <v>34.700000000000003</v>
      </c>
      <c r="I14" s="42">
        <v>42.7</v>
      </c>
      <c r="J14" s="42">
        <v>-1</v>
      </c>
      <c r="K14" s="42">
        <v>-1</v>
      </c>
      <c r="L14" s="42">
        <v>-1</v>
      </c>
      <c r="M14" s="42">
        <v>47.7</v>
      </c>
      <c r="N14" s="42">
        <v>70.8</v>
      </c>
      <c r="O14" s="42">
        <v>86.6</v>
      </c>
      <c r="P14" s="42">
        <v>23.5</v>
      </c>
      <c r="Q14" s="42">
        <v>34.700000000000003</v>
      </c>
      <c r="R14" s="42">
        <v>42.7</v>
      </c>
      <c r="S14" s="42">
        <v>70.8</v>
      </c>
      <c r="T14" s="42">
        <v>86.6</v>
      </c>
      <c r="U14" s="42">
        <v>34.700000000000003</v>
      </c>
      <c r="V14" s="42">
        <v>42.7</v>
      </c>
      <c r="W14" s="42">
        <v>42.7</v>
      </c>
      <c r="X14" s="44">
        <v>45095</v>
      </c>
      <c r="Y14" s="42" t="str">
        <f t="shared" si="0"/>
        <v>2023-06-18</v>
      </c>
    </row>
    <row r="15" spans="1:25" x14ac:dyDescent="0.3">
      <c r="A15" s="42" t="s">
        <v>18</v>
      </c>
      <c r="B15" s="42">
        <v>20026</v>
      </c>
      <c r="C15" s="42" t="s">
        <v>5</v>
      </c>
      <c r="D15" s="43">
        <v>0</v>
      </c>
      <c r="E15" s="42" t="s">
        <v>6</v>
      </c>
      <c r="F15" s="43">
        <v>0.99998842592592596</v>
      </c>
      <c r="G15" s="42">
        <v>26.8</v>
      </c>
      <c r="H15" s="42">
        <v>39.299999999999997</v>
      </c>
      <c r="I15" s="42">
        <v>47.9</v>
      </c>
      <c r="J15" s="42">
        <v>-1</v>
      </c>
      <c r="K15" s="42">
        <v>-1</v>
      </c>
      <c r="L15" s="42">
        <v>-1</v>
      </c>
      <c r="M15" s="42">
        <v>54.6</v>
      </c>
      <c r="N15" s="42">
        <v>79.599999999999994</v>
      </c>
      <c r="O15" s="42">
        <v>96.8</v>
      </c>
      <c r="P15" s="42">
        <v>26.8</v>
      </c>
      <c r="Q15" s="42">
        <v>39.299999999999997</v>
      </c>
      <c r="R15" s="42">
        <v>47.9</v>
      </c>
      <c r="S15" s="42">
        <v>79.599999999999994</v>
      </c>
      <c r="T15" s="42">
        <v>96.8</v>
      </c>
      <c r="U15" s="42">
        <v>39.299999999999997</v>
      </c>
      <c r="V15" s="42">
        <v>47.9</v>
      </c>
      <c r="W15" s="42">
        <v>47.9</v>
      </c>
      <c r="X15" s="44">
        <v>45113</v>
      </c>
      <c r="Y15" s="42" t="str">
        <f t="shared" si="0"/>
        <v>2023-07-06</v>
      </c>
    </row>
    <row r="16" spans="1:25" x14ac:dyDescent="0.3">
      <c r="A16" s="42" t="s">
        <v>19</v>
      </c>
      <c r="B16" s="42">
        <v>20028</v>
      </c>
      <c r="C16" s="42" t="s">
        <v>5</v>
      </c>
      <c r="D16" s="43">
        <v>0</v>
      </c>
      <c r="E16" s="42" t="s">
        <v>6</v>
      </c>
      <c r="F16" s="43">
        <v>0.99998842592592596</v>
      </c>
      <c r="G16" s="42">
        <v>28</v>
      </c>
      <c r="H16" s="42">
        <v>41</v>
      </c>
      <c r="I16" s="42">
        <v>50.1</v>
      </c>
      <c r="J16" s="42">
        <v>-1</v>
      </c>
      <c r="K16" s="42">
        <v>-1</v>
      </c>
      <c r="L16" s="42">
        <v>-1</v>
      </c>
      <c r="M16" s="42">
        <v>56.7</v>
      </c>
      <c r="N16" s="42">
        <v>83.2</v>
      </c>
      <c r="O16" s="42">
        <v>101.3</v>
      </c>
      <c r="P16" s="42">
        <v>28</v>
      </c>
      <c r="Q16" s="42">
        <v>41</v>
      </c>
      <c r="R16" s="42">
        <v>50.1</v>
      </c>
      <c r="S16" s="42">
        <v>83.2</v>
      </c>
      <c r="T16" s="42">
        <v>101.3</v>
      </c>
      <c r="U16" s="42">
        <v>41</v>
      </c>
      <c r="V16" s="42">
        <v>50.1</v>
      </c>
      <c r="W16" s="42">
        <v>50.1</v>
      </c>
      <c r="X16" s="44">
        <v>45063</v>
      </c>
      <c r="Y16" s="42" t="str">
        <f t="shared" si="0"/>
        <v>2023-05-17</v>
      </c>
    </row>
    <row r="17" spans="1:25" x14ac:dyDescent="0.3">
      <c r="A17" s="42" t="s">
        <v>20</v>
      </c>
      <c r="B17" s="42">
        <v>20030</v>
      </c>
      <c r="C17" s="42" t="s">
        <v>5</v>
      </c>
      <c r="D17" s="43">
        <v>0</v>
      </c>
      <c r="E17" s="42" t="s">
        <v>6</v>
      </c>
      <c r="F17" s="43">
        <v>0.99998842592592596</v>
      </c>
      <c r="G17" s="42">
        <v>28.5</v>
      </c>
      <c r="H17" s="42">
        <v>42.3</v>
      </c>
      <c r="I17" s="42">
        <v>52.3</v>
      </c>
      <c r="J17" s="42">
        <v>-1</v>
      </c>
      <c r="K17" s="42">
        <v>-1</v>
      </c>
      <c r="L17" s="42">
        <v>-1</v>
      </c>
      <c r="M17" s="42">
        <v>58.3</v>
      </c>
      <c r="N17" s="42">
        <v>85.4</v>
      </c>
      <c r="O17" s="42">
        <v>106.1</v>
      </c>
      <c r="P17" s="42">
        <v>28.5</v>
      </c>
      <c r="Q17" s="42">
        <v>42.3</v>
      </c>
      <c r="R17" s="42">
        <v>52.3</v>
      </c>
      <c r="S17" s="42">
        <v>85.4</v>
      </c>
      <c r="T17" s="42">
        <v>106.1</v>
      </c>
      <c r="U17" s="42">
        <v>42.3</v>
      </c>
      <c r="V17" s="42">
        <v>52.3</v>
      </c>
      <c r="W17" s="42">
        <v>52.3</v>
      </c>
      <c r="X17" s="44">
        <v>45071</v>
      </c>
      <c r="Y17" s="42" t="str">
        <f t="shared" si="0"/>
        <v>2023-05-25</v>
      </c>
    </row>
    <row r="18" spans="1:25" x14ac:dyDescent="0.3">
      <c r="A18" s="42" t="s">
        <v>21</v>
      </c>
      <c r="B18" s="42">
        <v>20032</v>
      </c>
      <c r="C18" s="42" t="s">
        <v>5</v>
      </c>
      <c r="D18" s="43">
        <v>0</v>
      </c>
      <c r="E18" s="42" t="s">
        <v>6</v>
      </c>
      <c r="F18" s="43">
        <v>0.99998842592592596</v>
      </c>
      <c r="G18" s="42">
        <v>29.1</v>
      </c>
      <c r="H18" s="42">
        <v>43.3</v>
      </c>
      <c r="I18" s="42">
        <v>53.7</v>
      </c>
      <c r="J18" s="42">
        <v>-1</v>
      </c>
      <c r="K18" s="42">
        <v>-1</v>
      </c>
      <c r="L18" s="42">
        <v>-1</v>
      </c>
      <c r="M18" s="42">
        <v>59</v>
      </c>
      <c r="N18" s="42">
        <v>87.6</v>
      </c>
      <c r="O18" s="42">
        <v>108.8</v>
      </c>
      <c r="P18" s="42">
        <v>29.1</v>
      </c>
      <c r="Q18" s="42">
        <v>43.3</v>
      </c>
      <c r="R18" s="42">
        <v>53.7</v>
      </c>
      <c r="S18" s="42">
        <v>87.6</v>
      </c>
      <c r="T18" s="42">
        <v>108.8</v>
      </c>
      <c r="U18" s="42">
        <v>43.3</v>
      </c>
      <c r="V18" s="42">
        <v>53.7</v>
      </c>
      <c r="W18" s="42">
        <v>53.7</v>
      </c>
      <c r="X18" s="44">
        <v>45085</v>
      </c>
      <c r="Y18" s="42" t="str">
        <f t="shared" si="0"/>
        <v>2023-06-08</v>
      </c>
    </row>
    <row r="19" spans="1:25" x14ac:dyDescent="0.3">
      <c r="A19" s="42" t="s">
        <v>22</v>
      </c>
      <c r="B19" s="42">
        <v>20034</v>
      </c>
      <c r="C19" s="42" t="s">
        <v>5</v>
      </c>
      <c r="D19" s="43">
        <v>0</v>
      </c>
      <c r="E19" s="42" t="s">
        <v>6</v>
      </c>
      <c r="F19" s="43">
        <v>0.99998842592592596</v>
      </c>
      <c r="G19" s="42">
        <v>30.7</v>
      </c>
      <c r="H19" s="42">
        <v>45.5</v>
      </c>
      <c r="I19" s="42">
        <v>57</v>
      </c>
      <c r="J19" s="42">
        <v>-1</v>
      </c>
      <c r="K19" s="42">
        <v>-1</v>
      </c>
      <c r="L19" s="42">
        <v>-1</v>
      </c>
      <c r="M19" s="42">
        <v>62.5</v>
      </c>
      <c r="N19" s="42">
        <v>92.1</v>
      </c>
      <c r="O19" s="42">
        <v>115.1</v>
      </c>
      <c r="P19" s="42">
        <v>30.7</v>
      </c>
      <c r="Q19" s="42">
        <v>45.5</v>
      </c>
      <c r="R19" s="42">
        <v>57</v>
      </c>
      <c r="S19" s="42">
        <v>92.1</v>
      </c>
      <c r="T19" s="42">
        <v>115.1</v>
      </c>
      <c r="U19" s="42">
        <v>45.5</v>
      </c>
      <c r="V19" s="42">
        <v>57</v>
      </c>
      <c r="W19" s="42">
        <v>57</v>
      </c>
      <c r="X19" s="44">
        <v>45099</v>
      </c>
      <c r="Y19" s="42" t="str">
        <f t="shared" si="0"/>
        <v>2023-06-22</v>
      </c>
    </row>
    <row r="20" spans="1:25" x14ac:dyDescent="0.3">
      <c r="A20" s="42" t="s">
        <v>23</v>
      </c>
      <c r="B20" s="42">
        <v>20036</v>
      </c>
      <c r="C20" s="42" t="s">
        <v>5</v>
      </c>
      <c r="D20" s="43">
        <v>0</v>
      </c>
      <c r="E20" s="42" t="s">
        <v>6</v>
      </c>
      <c r="F20" s="43">
        <v>0.99998842592592596</v>
      </c>
      <c r="G20" s="42">
        <v>33.799999999999997</v>
      </c>
      <c r="H20" s="42">
        <v>50.1</v>
      </c>
      <c r="I20" s="42">
        <v>61.4</v>
      </c>
      <c r="J20" s="42">
        <v>-1</v>
      </c>
      <c r="K20" s="42">
        <v>-1</v>
      </c>
      <c r="L20" s="42">
        <v>-1</v>
      </c>
      <c r="M20" s="42">
        <v>67.900000000000006</v>
      </c>
      <c r="N20" s="42">
        <v>101.3</v>
      </c>
      <c r="O20" s="42">
        <v>124.4</v>
      </c>
      <c r="P20" s="42">
        <v>33.799999999999997</v>
      </c>
      <c r="Q20" s="42">
        <v>50.1</v>
      </c>
      <c r="R20" s="42">
        <v>61.4</v>
      </c>
      <c r="S20" s="42">
        <v>101.3</v>
      </c>
      <c r="T20" s="42">
        <v>124.4</v>
      </c>
      <c r="U20" s="42">
        <v>50.1</v>
      </c>
      <c r="V20" s="42">
        <v>61.4</v>
      </c>
      <c r="W20" s="42">
        <v>61.4</v>
      </c>
      <c r="X20" s="44">
        <v>45091</v>
      </c>
      <c r="Y20" s="42" t="str">
        <f t="shared" si="0"/>
        <v>2023-06-14</v>
      </c>
    </row>
    <row r="21" spans="1:25" x14ac:dyDescent="0.3">
      <c r="A21" s="42" t="s">
        <v>24</v>
      </c>
      <c r="B21" s="42">
        <v>20038</v>
      </c>
      <c r="C21" s="42" t="s">
        <v>5</v>
      </c>
      <c r="D21" s="43">
        <v>0</v>
      </c>
      <c r="E21" s="42" t="s">
        <v>6</v>
      </c>
      <c r="F21" s="43">
        <v>0.99998842592592596</v>
      </c>
      <c r="G21" s="42">
        <v>34.700000000000003</v>
      </c>
      <c r="H21" s="42">
        <v>52.3</v>
      </c>
      <c r="I21" s="42">
        <v>63.6</v>
      </c>
      <c r="J21" s="42">
        <v>-1</v>
      </c>
      <c r="K21" s="42">
        <v>-1</v>
      </c>
      <c r="L21" s="42">
        <v>-1</v>
      </c>
      <c r="M21" s="42">
        <v>70.8</v>
      </c>
      <c r="N21" s="42">
        <v>106.1</v>
      </c>
      <c r="O21" s="42">
        <v>128.6</v>
      </c>
      <c r="P21" s="42">
        <v>34.700000000000003</v>
      </c>
      <c r="Q21" s="42">
        <v>52.3</v>
      </c>
      <c r="R21" s="42">
        <v>63.6</v>
      </c>
      <c r="S21" s="42">
        <v>106.1</v>
      </c>
      <c r="T21" s="42">
        <v>128.6</v>
      </c>
      <c r="U21" s="42">
        <v>52.3</v>
      </c>
      <c r="V21" s="42">
        <v>63.6</v>
      </c>
      <c r="W21" s="42">
        <v>63.6</v>
      </c>
      <c r="X21" s="44">
        <v>45079</v>
      </c>
      <c r="Y21" s="42" t="str">
        <f t="shared" si="0"/>
        <v>2023-06-02</v>
      </c>
    </row>
    <row r="22" spans="1:25" x14ac:dyDescent="0.3">
      <c r="A22" s="42" t="s">
        <v>25</v>
      </c>
      <c r="B22" s="42">
        <v>20040</v>
      </c>
      <c r="C22" s="42" t="s">
        <v>5</v>
      </c>
      <c r="D22" s="43">
        <v>0</v>
      </c>
      <c r="E22" s="42" t="s">
        <v>6</v>
      </c>
      <c r="F22" s="43">
        <v>0.99998842592592596</v>
      </c>
      <c r="G22" s="42">
        <v>36.5</v>
      </c>
      <c r="H22" s="42">
        <v>54.6</v>
      </c>
      <c r="I22" s="42">
        <v>65.900000000000006</v>
      </c>
      <c r="J22" s="42">
        <v>-1</v>
      </c>
      <c r="K22" s="42">
        <v>-1</v>
      </c>
      <c r="L22" s="42">
        <v>-1</v>
      </c>
      <c r="M22" s="42">
        <v>73.900000000000006</v>
      </c>
      <c r="N22" s="42">
        <v>110.3</v>
      </c>
      <c r="O22" s="42">
        <v>133.4</v>
      </c>
      <c r="P22" s="42">
        <v>36.5</v>
      </c>
      <c r="Q22" s="42">
        <v>54.6</v>
      </c>
      <c r="R22" s="42">
        <v>65.900000000000006</v>
      </c>
      <c r="S22" s="42">
        <v>110.3</v>
      </c>
      <c r="T22" s="42">
        <v>133.4</v>
      </c>
      <c r="U22" s="42">
        <v>54.6</v>
      </c>
      <c r="V22" s="42">
        <v>65.900000000000006</v>
      </c>
      <c r="W22" s="42">
        <v>65.900000000000006</v>
      </c>
      <c r="X22" s="44">
        <v>45075</v>
      </c>
      <c r="Y22" s="42" t="str">
        <f t="shared" si="0"/>
        <v>2023-05-29</v>
      </c>
    </row>
    <row r="23" spans="1:25" x14ac:dyDescent="0.3">
      <c r="A23" s="42" t="s">
        <v>41</v>
      </c>
      <c r="B23" s="42">
        <v>20042</v>
      </c>
      <c r="C23" s="42" t="s">
        <v>5</v>
      </c>
      <c r="D23" s="43">
        <v>0</v>
      </c>
      <c r="E23" s="42" t="s">
        <v>6</v>
      </c>
      <c r="F23" s="43">
        <v>0.99998842592592596</v>
      </c>
      <c r="G23" s="42">
        <v>38</v>
      </c>
      <c r="H23" s="42">
        <v>57.2</v>
      </c>
      <c r="I23" s="42">
        <v>68.7</v>
      </c>
      <c r="J23" s="42">
        <v>-1</v>
      </c>
      <c r="K23" s="42">
        <v>-1</v>
      </c>
      <c r="L23" s="42">
        <v>-1</v>
      </c>
      <c r="M23" s="42">
        <v>76.599999999999994</v>
      </c>
      <c r="N23" s="42">
        <v>115.5</v>
      </c>
      <c r="O23" s="42">
        <v>138.80000000000001</v>
      </c>
      <c r="P23" s="42">
        <v>38</v>
      </c>
      <c r="Q23" s="42">
        <v>57.2</v>
      </c>
      <c r="R23" s="42">
        <v>68.7</v>
      </c>
      <c r="S23" s="42">
        <v>115.5</v>
      </c>
      <c r="T23" s="42">
        <v>138.80000000000001</v>
      </c>
      <c r="U23" s="42">
        <v>57.2</v>
      </c>
      <c r="V23" s="42">
        <v>68.7</v>
      </c>
      <c r="W23" s="42">
        <v>68.7</v>
      </c>
      <c r="X23" s="44">
        <v>45110</v>
      </c>
      <c r="Y23" s="42" t="str">
        <f t="shared" si="0"/>
        <v>2023-07-03</v>
      </c>
    </row>
    <row r="24" spans="1:25" x14ac:dyDescent="0.3">
      <c r="A24" s="42" t="s">
        <v>26</v>
      </c>
      <c r="B24" s="42">
        <v>20044</v>
      </c>
      <c r="C24" s="42" t="s">
        <v>5</v>
      </c>
      <c r="D24" s="43">
        <v>0</v>
      </c>
      <c r="E24" s="42" t="s">
        <v>6</v>
      </c>
      <c r="F24" s="43">
        <v>0.99998842592592596</v>
      </c>
      <c r="G24" s="42">
        <v>38.700000000000003</v>
      </c>
      <c r="H24" s="42">
        <v>59.2</v>
      </c>
      <c r="I24" s="42">
        <v>70.400000000000006</v>
      </c>
      <c r="J24" s="42">
        <v>-1</v>
      </c>
      <c r="K24" s="42">
        <v>-1</v>
      </c>
      <c r="L24" s="42">
        <v>-1</v>
      </c>
      <c r="M24" s="42">
        <v>78.599999999999994</v>
      </c>
      <c r="N24" s="42">
        <v>119.4</v>
      </c>
      <c r="O24" s="42">
        <v>142.5</v>
      </c>
      <c r="P24" s="42">
        <v>38.700000000000003</v>
      </c>
      <c r="Q24" s="42">
        <v>59.2</v>
      </c>
      <c r="R24" s="42">
        <v>70.400000000000006</v>
      </c>
      <c r="S24" s="42">
        <v>119.4</v>
      </c>
      <c r="T24" s="42">
        <v>142.5</v>
      </c>
      <c r="U24" s="42">
        <v>59.2</v>
      </c>
      <c r="V24" s="42">
        <v>70.400000000000006</v>
      </c>
      <c r="W24" s="42">
        <v>70.400000000000006</v>
      </c>
      <c r="X24" s="44">
        <v>45114</v>
      </c>
      <c r="Y24" s="42" t="str">
        <f t="shared" si="0"/>
        <v>2023-07-07</v>
      </c>
    </row>
    <row r="25" spans="1:25" x14ac:dyDescent="0.3">
      <c r="A25" s="42" t="s">
        <v>27</v>
      </c>
      <c r="B25" s="42">
        <v>20046</v>
      </c>
      <c r="C25" s="42" t="s">
        <v>5</v>
      </c>
      <c r="D25" s="43">
        <v>0</v>
      </c>
      <c r="E25" s="42" t="s">
        <v>6</v>
      </c>
      <c r="F25" s="43">
        <v>0.99998842592592596</v>
      </c>
      <c r="G25" s="42">
        <v>40.1</v>
      </c>
      <c r="H25" s="42">
        <v>59.2</v>
      </c>
      <c r="I25" s="42">
        <v>72.8</v>
      </c>
      <c r="J25" s="42">
        <v>-1</v>
      </c>
      <c r="K25" s="42">
        <v>-1</v>
      </c>
      <c r="L25" s="42">
        <v>-1</v>
      </c>
      <c r="M25" s="42">
        <v>80.8</v>
      </c>
      <c r="N25" s="42">
        <v>119.4</v>
      </c>
      <c r="O25" s="42">
        <v>146.80000000000001</v>
      </c>
      <c r="P25" s="42">
        <v>40.1</v>
      </c>
      <c r="Q25" s="42">
        <v>59.2</v>
      </c>
      <c r="R25" s="42">
        <v>72.8</v>
      </c>
      <c r="S25" s="42">
        <v>119.4</v>
      </c>
      <c r="T25" s="42">
        <v>146.80000000000001</v>
      </c>
      <c r="U25" s="42">
        <v>59.2</v>
      </c>
      <c r="V25" s="42">
        <v>72.8</v>
      </c>
      <c r="W25" s="42">
        <v>72.8</v>
      </c>
      <c r="X25" s="44">
        <v>45118</v>
      </c>
      <c r="Y25" s="42" t="str">
        <f t="shared" si="0"/>
        <v>2023-07-11</v>
      </c>
    </row>
    <row r="26" spans="1:25" x14ac:dyDescent="0.3">
      <c r="A26" s="42" t="s">
        <v>28</v>
      </c>
      <c r="B26" s="42">
        <v>20048</v>
      </c>
      <c r="C26" s="42" t="s">
        <v>5</v>
      </c>
      <c r="D26" s="43">
        <v>0</v>
      </c>
      <c r="E26" s="42" t="s">
        <v>6</v>
      </c>
      <c r="F26" s="43">
        <v>0.99998842592592596</v>
      </c>
      <c r="G26" s="42">
        <v>0</v>
      </c>
      <c r="H26" s="42">
        <v>0</v>
      </c>
      <c r="I26" s="42">
        <v>0</v>
      </c>
      <c r="J26" s="42">
        <v>0</v>
      </c>
      <c r="K26" s="42">
        <v>0</v>
      </c>
      <c r="L26" s="42">
        <v>0</v>
      </c>
      <c r="M26" s="42">
        <v>0</v>
      </c>
      <c r="N26" s="42">
        <v>0</v>
      </c>
      <c r="O26" s="42">
        <v>0</v>
      </c>
      <c r="P26" s="42">
        <v>0</v>
      </c>
      <c r="Q26" s="42">
        <v>0</v>
      </c>
      <c r="R26" s="42">
        <v>0</v>
      </c>
      <c r="S26" s="42">
        <v>0</v>
      </c>
      <c r="T26" s="42">
        <v>0</v>
      </c>
      <c r="U26" s="42">
        <v>0</v>
      </c>
      <c r="V26" s="42">
        <v>0</v>
      </c>
      <c r="W26" s="42">
        <v>0</v>
      </c>
      <c r="X26" s="44">
        <v>45142</v>
      </c>
      <c r="Y26" s="42" t="str">
        <f t="shared" si="0"/>
        <v>2023-08-04</v>
      </c>
    </row>
    <row r="27" spans="1:25" x14ac:dyDescent="0.3">
      <c r="A27" s="42" t="s">
        <v>57</v>
      </c>
      <c r="B27" s="42">
        <v>20050</v>
      </c>
      <c r="C27" s="42" t="s">
        <v>5</v>
      </c>
      <c r="D27" s="43">
        <v>0</v>
      </c>
      <c r="E27" s="42" t="s">
        <v>6</v>
      </c>
      <c r="F27" s="43">
        <v>0.99998842592592596</v>
      </c>
      <c r="G27" s="42">
        <v>41.3</v>
      </c>
      <c r="H27" s="42">
        <v>61.4</v>
      </c>
      <c r="I27" s="42">
        <v>75</v>
      </c>
      <c r="J27" s="42">
        <v>-1</v>
      </c>
      <c r="K27" s="42">
        <v>-1</v>
      </c>
      <c r="L27" s="42">
        <v>-1</v>
      </c>
      <c r="M27" s="42">
        <v>83.5</v>
      </c>
      <c r="N27" s="42">
        <v>124.4</v>
      </c>
      <c r="O27" s="42">
        <v>151.5</v>
      </c>
      <c r="P27" s="42">
        <v>41.3</v>
      </c>
      <c r="Q27" s="42">
        <v>61.4</v>
      </c>
      <c r="R27" s="42">
        <v>75</v>
      </c>
      <c r="S27" s="42">
        <v>124.4</v>
      </c>
      <c r="T27" s="42">
        <v>151.5</v>
      </c>
      <c r="U27" s="42">
        <v>61.4</v>
      </c>
      <c r="V27" s="42">
        <v>75</v>
      </c>
      <c r="W27" s="42">
        <v>75</v>
      </c>
      <c r="X27" s="44">
        <v>45146</v>
      </c>
      <c r="Y27" s="42" t="str">
        <f t="shared" si="0"/>
        <v>2023-08-08</v>
      </c>
    </row>
    <row r="28" spans="1:25" x14ac:dyDescent="0.3">
      <c r="A28" s="42" t="s">
        <v>29</v>
      </c>
      <c r="B28" s="42">
        <v>20052</v>
      </c>
      <c r="C28" s="42" t="s">
        <v>5</v>
      </c>
      <c r="D28" s="43">
        <v>0</v>
      </c>
      <c r="E28" s="42" t="s">
        <v>6</v>
      </c>
      <c r="F28" s="43">
        <v>0.99998842592592596</v>
      </c>
      <c r="G28" s="42">
        <v>42.3</v>
      </c>
      <c r="H28" s="42">
        <v>61.4</v>
      </c>
      <c r="I28" s="42">
        <v>75</v>
      </c>
      <c r="J28" s="42">
        <v>-1</v>
      </c>
      <c r="K28" s="42">
        <v>-1</v>
      </c>
      <c r="L28" s="42">
        <v>-1</v>
      </c>
      <c r="M28" s="42">
        <v>85.4</v>
      </c>
      <c r="N28" s="42">
        <v>124.4</v>
      </c>
      <c r="O28" s="42">
        <v>151.5</v>
      </c>
      <c r="P28" s="42">
        <v>42.3</v>
      </c>
      <c r="Q28" s="42">
        <v>61.4</v>
      </c>
      <c r="R28" s="42">
        <v>75</v>
      </c>
      <c r="S28" s="42">
        <v>124.4</v>
      </c>
      <c r="T28" s="42">
        <v>151.5</v>
      </c>
      <c r="U28" s="42">
        <v>61.4</v>
      </c>
      <c r="V28" s="42">
        <v>75</v>
      </c>
      <c r="W28" s="42">
        <v>75</v>
      </c>
      <c r="X28" s="44">
        <v>45108</v>
      </c>
      <c r="Y28" s="42" t="str">
        <f t="shared" si="0"/>
        <v>2023-07-01</v>
      </c>
    </row>
    <row r="29" spans="1:25" x14ac:dyDescent="0.3">
      <c r="A29" s="42" t="s">
        <v>30</v>
      </c>
      <c r="B29" s="42">
        <v>20054</v>
      </c>
      <c r="C29" s="42" t="s">
        <v>5</v>
      </c>
      <c r="D29" s="43">
        <v>0</v>
      </c>
      <c r="E29" s="42" t="s">
        <v>6</v>
      </c>
      <c r="F29" s="43">
        <v>0.99998842592592596</v>
      </c>
      <c r="G29" s="42">
        <v>43.3</v>
      </c>
      <c r="H29" s="42">
        <v>63.6</v>
      </c>
      <c r="I29" s="42">
        <v>77.2</v>
      </c>
      <c r="J29" s="42">
        <v>-1</v>
      </c>
      <c r="K29" s="42">
        <v>-1</v>
      </c>
      <c r="L29" s="42">
        <v>-1</v>
      </c>
      <c r="M29" s="42">
        <v>87.6</v>
      </c>
      <c r="N29" s="42">
        <v>128.6</v>
      </c>
      <c r="O29" s="42">
        <v>156.4</v>
      </c>
      <c r="P29" s="42">
        <v>43.3</v>
      </c>
      <c r="Q29" s="42">
        <v>63.6</v>
      </c>
      <c r="R29" s="42">
        <v>77.2</v>
      </c>
      <c r="S29" s="42">
        <v>128.6</v>
      </c>
      <c r="T29" s="42">
        <v>156.4</v>
      </c>
      <c r="U29" s="42">
        <v>63.6</v>
      </c>
      <c r="V29" s="42">
        <v>77.2</v>
      </c>
      <c r="W29" s="42">
        <v>77.2</v>
      </c>
      <c r="X29" s="44">
        <v>45153</v>
      </c>
      <c r="Y29" s="42" t="str">
        <f t="shared" si="0"/>
        <v>2023-08-15</v>
      </c>
    </row>
    <row r="30" spans="1:25" x14ac:dyDescent="0.3">
      <c r="A30" s="42" t="s">
        <v>58</v>
      </c>
      <c r="B30" s="42">
        <v>20058</v>
      </c>
      <c r="C30" s="42" t="s">
        <v>5</v>
      </c>
      <c r="D30" s="43">
        <v>0</v>
      </c>
      <c r="E30" s="42" t="s">
        <v>6</v>
      </c>
      <c r="F30" s="43">
        <v>0.99998842592592596</v>
      </c>
      <c r="G30" s="42">
        <v>-1</v>
      </c>
      <c r="H30" s="42">
        <v>-1</v>
      </c>
      <c r="I30" s="42">
        <v>-1</v>
      </c>
      <c r="J30" s="42">
        <v>-1</v>
      </c>
      <c r="K30" s="42">
        <v>-1</v>
      </c>
      <c r="L30" s="42">
        <v>-1</v>
      </c>
      <c r="M30" s="42">
        <v>-1</v>
      </c>
      <c r="N30" s="42">
        <v>-1</v>
      </c>
      <c r="O30" s="42">
        <v>-1</v>
      </c>
      <c r="P30" s="42">
        <v>-1</v>
      </c>
      <c r="Q30" s="42">
        <v>-1</v>
      </c>
      <c r="R30" s="42">
        <v>-1</v>
      </c>
      <c r="S30" s="42">
        <v>-1</v>
      </c>
      <c r="T30" s="42">
        <v>-1</v>
      </c>
      <c r="U30" s="42">
        <v>-1</v>
      </c>
      <c r="V30" s="42">
        <v>-1</v>
      </c>
      <c r="W30" s="42">
        <v>-1</v>
      </c>
      <c r="X30" s="44">
        <v>45150</v>
      </c>
      <c r="Y30" s="42" t="str">
        <f t="shared" si="0"/>
        <v>2023-08-12</v>
      </c>
    </row>
    <row r="31" spans="1:25" x14ac:dyDescent="0.3">
      <c r="A31" s="42" t="s">
        <v>31</v>
      </c>
      <c r="B31" s="42">
        <v>20060</v>
      </c>
      <c r="C31" s="42" t="s">
        <v>5</v>
      </c>
      <c r="D31" s="43">
        <v>0</v>
      </c>
      <c r="E31" s="42" t="s">
        <v>6</v>
      </c>
      <c r="F31" s="43">
        <v>0.99998842592592596</v>
      </c>
      <c r="G31" s="42">
        <v>45</v>
      </c>
      <c r="H31" s="42">
        <v>65.900000000000006</v>
      </c>
      <c r="I31" s="42">
        <v>79.400000000000006</v>
      </c>
      <c r="J31" s="42">
        <v>-1</v>
      </c>
      <c r="K31" s="42">
        <v>-1</v>
      </c>
      <c r="L31" s="42">
        <v>-1</v>
      </c>
      <c r="M31" s="42">
        <v>90.9</v>
      </c>
      <c r="N31" s="42">
        <v>133.4</v>
      </c>
      <c r="O31" s="42">
        <v>160.9</v>
      </c>
      <c r="P31" s="42">
        <v>45</v>
      </c>
      <c r="Q31" s="42">
        <v>65.900000000000006</v>
      </c>
      <c r="R31" s="42">
        <v>79.400000000000006</v>
      </c>
      <c r="S31" s="42">
        <v>133.4</v>
      </c>
      <c r="T31" s="42">
        <v>160.9</v>
      </c>
      <c r="U31" s="42">
        <v>65.900000000000006</v>
      </c>
      <c r="V31" s="42">
        <v>79.400000000000006</v>
      </c>
      <c r="W31" s="42">
        <v>79.400000000000006</v>
      </c>
      <c r="X31" s="44">
        <v>45157</v>
      </c>
      <c r="Y31" s="42" t="str">
        <f t="shared" si="0"/>
        <v>2023-08-19</v>
      </c>
    </row>
    <row r="32" spans="1:25" x14ac:dyDescent="0.3">
      <c r="A32" s="42" t="s">
        <v>32</v>
      </c>
      <c r="B32" s="42">
        <v>21000</v>
      </c>
      <c r="C32" s="42" t="s">
        <v>5</v>
      </c>
      <c r="D32" s="43">
        <v>0</v>
      </c>
      <c r="E32" s="42" t="s">
        <v>6</v>
      </c>
      <c r="F32" s="43">
        <v>0.99998842592592596</v>
      </c>
      <c r="G32" s="42">
        <v>-1</v>
      </c>
      <c r="H32" s="42">
        <v>-1</v>
      </c>
      <c r="I32" s="42">
        <v>-1</v>
      </c>
      <c r="J32" s="42">
        <v>-1</v>
      </c>
      <c r="K32" s="42">
        <v>-1</v>
      </c>
      <c r="L32" s="42">
        <v>-1</v>
      </c>
      <c r="M32" s="42">
        <v>-1</v>
      </c>
      <c r="N32" s="42">
        <v>-1</v>
      </c>
      <c r="O32" s="42">
        <v>-1</v>
      </c>
      <c r="P32" s="42">
        <v>-1</v>
      </c>
      <c r="Q32" s="42">
        <v>-1</v>
      </c>
      <c r="R32" s="42">
        <v>-1</v>
      </c>
      <c r="S32" s="42">
        <v>-1</v>
      </c>
      <c r="T32" s="42">
        <v>-1</v>
      </c>
      <c r="U32" s="42">
        <v>-1</v>
      </c>
      <c r="V32" s="42">
        <v>-1</v>
      </c>
      <c r="W32" s="42">
        <v>-1</v>
      </c>
      <c r="X32" s="44">
        <v>45143</v>
      </c>
      <c r="Y32" s="42" t="str">
        <f t="shared" si="0"/>
        <v>2023-08-05</v>
      </c>
    </row>
    <row r="33" spans="1:25" x14ac:dyDescent="0.3">
      <c r="A33" s="42" t="s">
        <v>33</v>
      </c>
      <c r="B33" s="42">
        <v>21002</v>
      </c>
      <c r="C33" s="42" t="s">
        <v>5</v>
      </c>
      <c r="D33" s="43">
        <v>0</v>
      </c>
      <c r="E33" s="42" t="s">
        <v>6</v>
      </c>
      <c r="F33" s="43">
        <v>0.99998842592592596</v>
      </c>
      <c r="G33" s="42">
        <v>41.5</v>
      </c>
      <c r="H33" s="42">
        <v>61.4</v>
      </c>
      <c r="I33" s="42">
        <v>75</v>
      </c>
      <c r="J33" s="42">
        <v>-1</v>
      </c>
      <c r="K33" s="42">
        <v>-1</v>
      </c>
      <c r="L33" s="42">
        <v>-1</v>
      </c>
      <c r="M33" s="42">
        <v>84.6</v>
      </c>
      <c r="N33" s="42">
        <v>124.4</v>
      </c>
      <c r="O33" s="42">
        <v>151.5</v>
      </c>
      <c r="P33" s="42">
        <v>41.5</v>
      </c>
      <c r="Q33" s="42">
        <v>61.4</v>
      </c>
      <c r="R33" s="42">
        <v>75</v>
      </c>
      <c r="S33" s="42">
        <v>124.4</v>
      </c>
      <c r="T33" s="42">
        <v>151.5</v>
      </c>
      <c r="U33" s="42">
        <v>61.4</v>
      </c>
      <c r="V33" s="42">
        <v>75</v>
      </c>
      <c r="W33" s="42">
        <v>75</v>
      </c>
      <c r="X33" s="44">
        <v>45166</v>
      </c>
      <c r="Y33" s="42" t="str">
        <f t="shared" si="0"/>
        <v>2023-08-28</v>
      </c>
    </row>
    <row r="34" spans="1:25" x14ac:dyDescent="0.3">
      <c r="A34" s="42" t="s">
        <v>34</v>
      </c>
      <c r="B34" s="42">
        <v>21004</v>
      </c>
      <c r="C34" s="42" t="s">
        <v>5</v>
      </c>
      <c r="D34" s="43">
        <v>0</v>
      </c>
      <c r="E34" s="42" t="s">
        <v>6</v>
      </c>
      <c r="F34" s="43">
        <v>0.99998842592592596</v>
      </c>
      <c r="G34" s="42">
        <v>43.3</v>
      </c>
      <c r="H34" s="42">
        <v>63.6</v>
      </c>
      <c r="I34" s="42">
        <v>79.400000000000006</v>
      </c>
      <c r="J34" s="42">
        <v>-1</v>
      </c>
      <c r="K34" s="42">
        <v>-1</v>
      </c>
      <c r="L34" s="42">
        <v>-1</v>
      </c>
      <c r="M34" s="42">
        <v>87.6</v>
      </c>
      <c r="N34" s="42">
        <v>128.6</v>
      </c>
      <c r="O34" s="42">
        <v>160.9</v>
      </c>
      <c r="P34" s="42">
        <v>43.3</v>
      </c>
      <c r="Q34" s="42">
        <v>63.6</v>
      </c>
      <c r="R34" s="42">
        <v>79.400000000000006</v>
      </c>
      <c r="S34" s="42">
        <v>128.6</v>
      </c>
      <c r="T34" s="42">
        <v>160.9</v>
      </c>
      <c r="U34" s="42">
        <v>63.6</v>
      </c>
      <c r="V34" s="42">
        <v>79.400000000000006</v>
      </c>
      <c r="W34" s="42">
        <v>79.400000000000006</v>
      </c>
      <c r="X34" s="44">
        <v>45162</v>
      </c>
      <c r="Y34" s="42" t="str">
        <f t="shared" si="0"/>
        <v>2023-08-24</v>
      </c>
    </row>
    <row r="35" spans="1:25" x14ac:dyDescent="0.3">
      <c r="A35" s="42" t="s">
        <v>35</v>
      </c>
      <c r="B35" s="42">
        <v>21006</v>
      </c>
      <c r="C35" s="42" t="s">
        <v>5</v>
      </c>
      <c r="D35" s="43">
        <v>0</v>
      </c>
      <c r="E35" s="42" t="s">
        <v>6</v>
      </c>
      <c r="F35" s="43">
        <v>0.99998842592592596</v>
      </c>
      <c r="G35" s="42">
        <v>44.5</v>
      </c>
      <c r="H35" s="42">
        <v>65.900000000000006</v>
      </c>
      <c r="I35" s="42">
        <v>81.8</v>
      </c>
      <c r="J35" s="42">
        <v>-1</v>
      </c>
      <c r="K35" s="42">
        <v>-1</v>
      </c>
      <c r="L35" s="42">
        <v>-1</v>
      </c>
      <c r="M35" s="42">
        <v>89.9</v>
      </c>
      <c r="N35" s="42">
        <v>133.4</v>
      </c>
      <c r="O35" s="42">
        <v>165.3</v>
      </c>
      <c r="P35" s="42">
        <v>44.5</v>
      </c>
      <c r="Q35" s="42">
        <v>65.900000000000006</v>
      </c>
      <c r="R35" s="42">
        <v>81.8</v>
      </c>
      <c r="S35" s="42">
        <v>133.4</v>
      </c>
      <c r="T35" s="42">
        <v>165.3</v>
      </c>
      <c r="U35" s="42">
        <v>65.900000000000006</v>
      </c>
      <c r="V35" s="42">
        <v>81.8</v>
      </c>
      <c r="W35" s="42">
        <v>81.8</v>
      </c>
      <c r="X35" s="44">
        <v>45160</v>
      </c>
      <c r="Y35" s="42" t="str">
        <f t="shared" si="0"/>
        <v>2023-08-22</v>
      </c>
    </row>
    <row r="36" spans="1:25" x14ac:dyDescent="0.3">
      <c r="A36" s="42" t="s">
        <v>36</v>
      </c>
      <c r="B36" s="42">
        <v>21008</v>
      </c>
      <c r="C36" s="42" t="s">
        <v>5</v>
      </c>
      <c r="D36" s="43">
        <v>0</v>
      </c>
      <c r="E36" s="42" t="s">
        <v>6</v>
      </c>
      <c r="F36" s="43">
        <v>0.99998842592592596</v>
      </c>
      <c r="G36" s="42">
        <v>47.3</v>
      </c>
      <c r="H36" s="42">
        <v>70.400000000000006</v>
      </c>
      <c r="I36" s="42">
        <v>86.4</v>
      </c>
      <c r="J36" s="42">
        <v>-1</v>
      </c>
      <c r="K36" s="42">
        <v>-1</v>
      </c>
      <c r="L36" s="42">
        <v>-1</v>
      </c>
      <c r="M36" s="42">
        <v>95.6</v>
      </c>
      <c r="N36" s="42">
        <v>142.5</v>
      </c>
      <c r="O36" s="42">
        <v>174.2</v>
      </c>
      <c r="P36" s="42">
        <v>47.3</v>
      </c>
      <c r="Q36" s="42">
        <v>70.400000000000006</v>
      </c>
      <c r="R36" s="42">
        <v>86.4</v>
      </c>
      <c r="S36" s="42">
        <v>142.5</v>
      </c>
      <c r="T36" s="42">
        <v>174.2</v>
      </c>
      <c r="U36" s="42">
        <v>70.400000000000006</v>
      </c>
      <c r="V36" s="42">
        <v>86.4</v>
      </c>
      <c r="W36" s="42">
        <v>86.4</v>
      </c>
      <c r="X36" s="44">
        <v>45179</v>
      </c>
      <c r="Y36" s="42" t="str">
        <f t="shared" si="0"/>
        <v>2023-09-10</v>
      </c>
    </row>
    <row r="37" spans="1:25" x14ac:dyDescent="0.3">
      <c r="A37" s="42" t="s">
        <v>42</v>
      </c>
      <c r="B37" s="42">
        <v>21010</v>
      </c>
      <c r="C37" s="42" t="s">
        <v>5</v>
      </c>
      <c r="D37" s="43">
        <v>0</v>
      </c>
      <c r="E37" s="42" t="s">
        <v>6</v>
      </c>
      <c r="F37" s="43">
        <v>0.99998842592592596</v>
      </c>
      <c r="G37" s="42">
        <v>48.3</v>
      </c>
      <c r="H37" s="42">
        <v>72</v>
      </c>
      <c r="I37" s="42">
        <v>89</v>
      </c>
      <c r="J37" s="42">
        <v>-1</v>
      </c>
      <c r="K37" s="42">
        <v>-1</v>
      </c>
      <c r="L37" s="42">
        <v>-1</v>
      </c>
      <c r="M37" s="42">
        <v>97.9</v>
      </c>
      <c r="N37" s="42">
        <v>145.5</v>
      </c>
      <c r="O37" s="42">
        <v>179.8</v>
      </c>
      <c r="P37" s="42">
        <v>48.3</v>
      </c>
      <c r="Q37" s="42">
        <v>72</v>
      </c>
      <c r="R37" s="42">
        <v>89</v>
      </c>
      <c r="S37" s="42">
        <v>145.5</v>
      </c>
      <c r="T37" s="42">
        <v>179.8</v>
      </c>
      <c r="U37" s="42">
        <v>72</v>
      </c>
      <c r="V37" s="42">
        <v>89</v>
      </c>
      <c r="W37" s="42">
        <v>89</v>
      </c>
      <c r="X37" s="44">
        <v>45157</v>
      </c>
      <c r="Y37" s="42" t="str">
        <f t="shared" si="0"/>
        <v>2023-08-19</v>
      </c>
    </row>
    <row r="38" spans="1:25" x14ac:dyDescent="0.3">
      <c r="A38" s="42" t="s">
        <v>37</v>
      </c>
      <c r="B38" s="42">
        <v>21012</v>
      </c>
      <c r="C38" s="42" t="s">
        <v>5</v>
      </c>
      <c r="D38" s="43">
        <v>0</v>
      </c>
      <c r="E38" s="42" t="s">
        <v>6</v>
      </c>
      <c r="F38" s="43">
        <v>0.99998842592592596</v>
      </c>
      <c r="G38" s="42">
        <v>49.1</v>
      </c>
      <c r="H38" s="42">
        <v>72.8</v>
      </c>
      <c r="I38" s="42">
        <v>90.9</v>
      </c>
      <c r="J38" s="42">
        <v>-1</v>
      </c>
      <c r="K38" s="42">
        <v>-1</v>
      </c>
      <c r="L38" s="42">
        <v>-1</v>
      </c>
      <c r="M38" s="42">
        <v>99.5</v>
      </c>
      <c r="N38" s="42">
        <v>146.80000000000001</v>
      </c>
      <c r="O38" s="42">
        <v>183.5</v>
      </c>
      <c r="P38" s="42">
        <v>49.1</v>
      </c>
      <c r="Q38" s="42">
        <v>72.8</v>
      </c>
      <c r="R38" s="42">
        <v>90.9</v>
      </c>
      <c r="S38" s="42">
        <v>146.80000000000001</v>
      </c>
      <c r="T38" s="42">
        <v>183.5</v>
      </c>
      <c r="U38" s="42">
        <v>72.8</v>
      </c>
      <c r="V38" s="42">
        <v>90.9</v>
      </c>
      <c r="W38" s="42">
        <v>90.9</v>
      </c>
      <c r="X38" s="44">
        <v>45143</v>
      </c>
      <c r="Y38" s="42" t="str">
        <f t="shared" si="0"/>
        <v>2023-08-05</v>
      </c>
    </row>
    <row r="39" spans="1:25" x14ac:dyDescent="0.3">
      <c r="A39" s="42" t="s">
        <v>38</v>
      </c>
      <c r="B39" s="42">
        <v>21014</v>
      </c>
      <c r="C39" s="42" t="s">
        <v>5</v>
      </c>
      <c r="D39" s="43">
        <v>0</v>
      </c>
      <c r="E39" s="42" t="s">
        <v>6</v>
      </c>
      <c r="F39" s="43">
        <v>0.99998842592592596</v>
      </c>
      <c r="G39" s="42">
        <v>50.6</v>
      </c>
      <c r="H39" s="42">
        <v>75</v>
      </c>
      <c r="I39" s="42">
        <v>93.1</v>
      </c>
      <c r="J39" s="42">
        <v>-1</v>
      </c>
      <c r="K39" s="42">
        <v>-1</v>
      </c>
      <c r="L39" s="42">
        <v>-1</v>
      </c>
      <c r="M39" s="42">
        <v>102.6</v>
      </c>
      <c r="N39" s="42">
        <v>151.5</v>
      </c>
      <c r="O39" s="42">
        <v>188.1</v>
      </c>
      <c r="P39" s="42">
        <v>50.6</v>
      </c>
      <c r="Q39" s="42">
        <v>75</v>
      </c>
      <c r="R39" s="42">
        <v>93.1</v>
      </c>
      <c r="S39" s="42">
        <v>151.5</v>
      </c>
      <c r="T39" s="42">
        <v>188.1</v>
      </c>
      <c r="U39" s="42">
        <v>75</v>
      </c>
      <c r="V39" s="42">
        <v>93.1</v>
      </c>
      <c r="W39" s="42">
        <v>93.1</v>
      </c>
      <c r="X39" s="44">
        <v>45166</v>
      </c>
      <c r="Y39" s="42" t="str">
        <f t="shared" si="0"/>
        <v>2023-08-28</v>
      </c>
    </row>
    <row r="40" spans="1:25" x14ac:dyDescent="0.3">
      <c r="A40" s="42" t="s">
        <v>39</v>
      </c>
      <c r="B40" s="42">
        <v>21016</v>
      </c>
      <c r="C40" s="42" t="s">
        <v>5</v>
      </c>
      <c r="D40" s="43">
        <v>0</v>
      </c>
      <c r="E40" s="42" t="s">
        <v>6</v>
      </c>
      <c r="F40" s="43">
        <v>0.99998842592592596</v>
      </c>
      <c r="G40" s="42">
        <v>51.8</v>
      </c>
      <c r="H40" s="42">
        <v>77.2</v>
      </c>
      <c r="I40" s="42">
        <v>93.1</v>
      </c>
      <c r="J40" s="42">
        <v>-1</v>
      </c>
      <c r="K40" s="42">
        <v>-1</v>
      </c>
      <c r="L40" s="42">
        <v>-1</v>
      </c>
      <c r="M40" s="42">
        <v>104.5</v>
      </c>
      <c r="N40" s="42">
        <v>156.4</v>
      </c>
      <c r="O40" s="42">
        <v>188.1</v>
      </c>
      <c r="P40" s="42">
        <v>51.8</v>
      </c>
      <c r="Q40" s="42">
        <v>77.2</v>
      </c>
      <c r="R40" s="42">
        <v>93.1</v>
      </c>
      <c r="S40" s="42">
        <v>156.4</v>
      </c>
      <c r="T40" s="42">
        <v>188.1</v>
      </c>
      <c r="U40" s="42">
        <v>77.2</v>
      </c>
      <c r="V40" s="42">
        <v>93.1</v>
      </c>
      <c r="W40" s="42">
        <v>93.1</v>
      </c>
      <c r="X40" s="44">
        <v>45162</v>
      </c>
      <c r="Y40" s="42" t="str">
        <f t="shared" si="0"/>
        <v>2023-08-24</v>
      </c>
    </row>
    <row r="42" spans="1:25" x14ac:dyDescent="0.3">
      <c r="F42" s="45"/>
      <c r="G42" s="34"/>
      <c r="H42" s="46">
        <f>SUMIF(H2:H40,"&gt;20")</f>
        <v>1473.0000000000002</v>
      </c>
      <c r="I42" s="34"/>
      <c r="J42" s="34"/>
      <c r="K42" s="34"/>
      <c r="L42" s="34"/>
      <c r="M42" s="34"/>
    </row>
    <row r="43" spans="1:25" x14ac:dyDescent="0.3">
      <c r="F43" s="54" t="s">
        <v>177</v>
      </c>
      <c r="G43" s="54"/>
      <c r="H43" s="54"/>
      <c r="I43" s="54"/>
      <c r="J43" s="54"/>
      <c r="K43" s="54"/>
      <c r="L43" s="54"/>
      <c r="M43" s="54"/>
    </row>
  </sheetData>
  <autoFilter ref="A1:Y40" xr:uid="{00000000-0001-0000-0000-000000000000}"/>
  <mergeCells count="1">
    <mergeCell ref="F43:M43"/>
  </mergeCells>
  <phoneticPr fontId="10" type="noConversion"/>
  <conditionalFormatting sqref="A1:A1048576">
    <cfRule type="duplicateValues" dxfId="5" priority="6"/>
  </conditionalFormatting>
  <conditionalFormatting sqref="B1:B1048576">
    <cfRule type="duplicateValues" dxfId="4" priority="5"/>
  </conditionalFormatting>
  <conditionalFormatting sqref="N10">
    <cfRule type="expression" dxfId="3" priority="4">
      <formula>G2:W40=-1</formula>
    </cfRule>
  </conditionalFormatting>
  <conditionalFormatting sqref="G2">
    <cfRule type="cellIs" dxfId="2" priority="3" operator="equal">
      <formula>-1</formula>
    </cfRule>
  </conditionalFormatting>
  <conditionalFormatting sqref="G2:W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D13" sqref="D13"/>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28.88671875" style="1" customWidth="1"/>
    <col min="5" max="5" width="14.44140625" style="1" bestFit="1" customWidth="1"/>
    <col min="6" max="16384" width="11" style="1"/>
  </cols>
  <sheetData>
    <row r="1" spans="1:5" x14ac:dyDescent="0.3">
      <c r="A1" s="4" t="s">
        <v>47</v>
      </c>
      <c r="B1" s="4" t="s">
        <v>48</v>
      </c>
      <c r="C1" s="4" t="s">
        <v>44</v>
      </c>
      <c r="E1" s="4" t="s">
        <v>173</v>
      </c>
    </row>
    <row r="2" spans="1:5" x14ac:dyDescent="0.3">
      <c r="A2" s="2"/>
      <c r="B2" s="5" t="s">
        <v>158</v>
      </c>
      <c r="C2" s="2"/>
    </row>
    <row r="3" spans="1:5" x14ac:dyDescent="0.3">
      <c r="A3" s="6">
        <v>1</v>
      </c>
      <c r="B3" s="2" t="s">
        <v>106</v>
      </c>
      <c r="C3" s="2" t="s">
        <v>45</v>
      </c>
      <c r="E3" s="1">
        <v>5</v>
      </c>
    </row>
    <row r="4" spans="1:5" x14ac:dyDescent="0.3">
      <c r="A4" s="6">
        <v>2</v>
      </c>
      <c r="B4" s="2" t="s">
        <v>46</v>
      </c>
      <c r="C4" s="2"/>
      <c r="E4" s="1">
        <v>5</v>
      </c>
    </row>
    <row r="5" spans="1:5" x14ac:dyDescent="0.3">
      <c r="A5" s="6">
        <v>3</v>
      </c>
      <c r="B5" s="2" t="s">
        <v>102</v>
      </c>
      <c r="C5" s="24" t="s">
        <v>103</v>
      </c>
      <c r="D5" s="35" t="s">
        <v>176</v>
      </c>
      <c r="E5" s="1">
        <v>10</v>
      </c>
    </row>
    <row r="6" spans="1:5" x14ac:dyDescent="0.3">
      <c r="A6" s="6">
        <v>4</v>
      </c>
      <c r="B6" s="2" t="s">
        <v>105</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9" zoomScaleNormal="100" workbookViewId="0">
      <selection activeCell="I23" sqref="I23"/>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1" customFormat="1" ht="21" x14ac:dyDescent="0.4">
      <c r="A1" s="32" t="s">
        <v>55</v>
      </c>
      <c r="B1" s="31" t="s">
        <v>162</v>
      </c>
    </row>
    <row r="2" spans="1:7" s="31" customFormat="1" ht="21" x14ac:dyDescent="0.4">
      <c r="B2" s="31" t="s">
        <v>159</v>
      </c>
    </row>
    <row r="3" spans="1:7" ht="14.4" x14ac:dyDescent="0.3">
      <c r="A3" s="1"/>
      <c r="B3" s="1"/>
      <c r="C3" s="1"/>
      <c r="D3" s="1"/>
      <c r="E3" s="1"/>
      <c r="F3" s="1"/>
      <c r="G3" s="1"/>
    </row>
    <row r="4" spans="1:7" ht="23.4" x14ac:dyDescent="0.45">
      <c r="A4" s="14" t="s">
        <v>160</v>
      </c>
      <c r="B4" s="1"/>
      <c r="C4" s="1"/>
      <c r="D4" s="1"/>
      <c r="E4" s="1"/>
      <c r="F4" s="1"/>
      <c r="G4" s="1"/>
    </row>
    <row r="5" spans="1:7" ht="14.4" x14ac:dyDescent="0.3">
      <c r="A5" s="16" t="s">
        <v>64</v>
      </c>
      <c r="B5" s="17" t="s">
        <v>79</v>
      </c>
      <c r="C5" s="18" t="s">
        <v>71</v>
      </c>
      <c r="D5" s="17" t="s">
        <v>75</v>
      </c>
      <c r="E5" s="18" t="s">
        <v>76</v>
      </c>
      <c r="F5" s="19" t="s">
        <v>77</v>
      </c>
    </row>
    <row r="6" spans="1:7" ht="14.4" x14ac:dyDescent="0.3">
      <c r="A6" s="7" t="s">
        <v>40</v>
      </c>
      <c r="B6" s="11">
        <f>VLOOKUP(A6,'Pivot Table'!$A$8:$B$42,2,FALSE)</f>
        <v>4.2</v>
      </c>
      <c r="C6" s="11">
        <f>VLOOKUP(A6,'Pivot Table'!$A$4:$B$42,2,FALSE)</f>
        <v>4.2</v>
      </c>
      <c r="D6" s="11">
        <f>VLOOKUP(A6,'Pivot Table'!$A$4:$B$42,2,FALSE)</f>
        <v>4.2</v>
      </c>
      <c r="E6" s="11">
        <f>VLOOKUP(A6,'Pivot Table'!$A$4:$B$42,2,FALSE)</f>
        <v>4.2</v>
      </c>
      <c r="F6" s="8">
        <f>VLOOKUP(A6,'Pivot Table'!$A$4:$B$42,2,FALSE)</f>
        <v>4.2</v>
      </c>
    </row>
    <row r="7" spans="1:7" ht="14.4" x14ac:dyDescent="0.3">
      <c r="A7" s="7" t="s">
        <v>4</v>
      </c>
      <c r="B7" s="11">
        <f>VLOOKUP(A7,'Pivot Table'!$A$8:$B$42,2,FALSE)</f>
        <v>4.2</v>
      </c>
      <c r="C7" s="11">
        <f>VLOOKUP(A7,'Pivot Table'!$A$4:$B$42,2,FALSE)</f>
        <v>4.2</v>
      </c>
      <c r="D7" s="11">
        <f>VLOOKUP(A7,'Pivot Table'!$A$4:$B$42,2,FALSE)</f>
        <v>4.2</v>
      </c>
      <c r="E7" s="11">
        <f>VLOOKUP(A7,'Pivot Table'!$A$4:$B$42,2,FALSE)</f>
        <v>4.2</v>
      </c>
      <c r="F7" s="8">
        <f>VLOOKUP(A7,'Pivot Table'!$A$4:$B$42,2,FALSE)</f>
        <v>4.2</v>
      </c>
    </row>
    <row r="8" spans="1:7" ht="14.4" x14ac:dyDescent="0.3">
      <c r="A8" s="7" t="s">
        <v>7</v>
      </c>
      <c r="B8" s="11">
        <v>3.6</v>
      </c>
      <c r="C8" s="11">
        <f>VLOOKUP(A8,'Pivot Table'!$A$4:$B$42,2,FALSE)</f>
        <v>5.8</v>
      </c>
      <c r="D8" s="11">
        <f>VLOOKUP(A8,'Pivot Table'!$A$4:$B$42,2,FALSE)</f>
        <v>5.8</v>
      </c>
      <c r="E8" s="11">
        <f>VLOOKUP(A8,'Pivot Table'!$A$4:$B$42,2,FALSE)</f>
        <v>5.8</v>
      </c>
      <c r="F8" s="8">
        <f>VLOOKUP(A8,'Pivot Table'!$A$4:$B$42,2,FALSE)</f>
        <v>5.8</v>
      </c>
    </row>
    <row r="9" spans="1:7" ht="14.4" x14ac:dyDescent="0.3">
      <c r="A9" s="7" t="s">
        <v>8</v>
      </c>
      <c r="B9" s="11">
        <f>VLOOKUP(A9,'Pivot Table'!$A$8:$B$42,2,FALSE)</f>
        <v>8.1</v>
      </c>
      <c r="C9" s="11">
        <f>VLOOKUP(A9,'Pivot Table'!$A$4:$B$42,2,FALSE)</f>
        <v>8.1</v>
      </c>
      <c r="D9" s="11">
        <f>VLOOKUP(A9,'Pivot Table'!$A$4:$B$42,2,FALSE)</f>
        <v>8.1</v>
      </c>
      <c r="E9" s="11">
        <f>VLOOKUP(A9,'Pivot Table'!$A$4:$B$42,2,FALSE)</f>
        <v>8.1</v>
      </c>
      <c r="F9" s="8">
        <f>VLOOKUP(A9,'Pivot Table'!$A$4:$B$42,2,FALSE)</f>
        <v>8.1</v>
      </c>
    </row>
    <row r="10" spans="1:7" ht="14.4" x14ac:dyDescent="0.3">
      <c r="A10" s="7" t="s">
        <v>11</v>
      </c>
      <c r="B10" s="11">
        <f>VLOOKUP(A10,'Pivot Table'!$A$8:$B$42,2,FALSE)</f>
        <v>16.100000000000001</v>
      </c>
      <c r="C10" s="11">
        <f>VLOOKUP(A10,'Pivot Table'!$A$4:$B$42,2,FALSE)</f>
        <v>16.100000000000001</v>
      </c>
      <c r="D10" s="11">
        <f>VLOOKUP(A10,'Pivot Table'!$A$4:$B$42,2,FALSE)</f>
        <v>16.100000000000001</v>
      </c>
      <c r="E10" s="11">
        <f>VLOOKUP(A10,'Pivot Table'!$A$4:$B$42,2,FALSE)</f>
        <v>16.100000000000001</v>
      </c>
      <c r="F10" s="8">
        <f>VLOOKUP(A10,'Pivot Table'!$A$4:$B$42,2,FALSE)</f>
        <v>16.100000000000001</v>
      </c>
    </row>
    <row r="11" spans="1:7" ht="14.4" x14ac:dyDescent="0.3">
      <c r="A11" s="7" t="s">
        <v>12</v>
      </c>
      <c r="B11" s="11">
        <f>VLOOKUP(A11,'Pivot Table'!$A$8:$B$42,2,FALSE)</f>
        <v>21.3</v>
      </c>
      <c r="C11" s="11">
        <f>VLOOKUP(A11,'Pivot Table'!$A$4:$B$42,2,FALSE)</f>
        <v>21.3</v>
      </c>
      <c r="D11" s="11">
        <f>VLOOKUP(A11,'Pivot Table'!$A$4:$B$42,2,FALSE)</f>
        <v>21.3</v>
      </c>
      <c r="E11" s="11">
        <f>VLOOKUP(A11,'Pivot Table'!$A$4:$B$42,2,FALSE)</f>
        <v>21.3</v>
      </c>
      <c r="F11" s="8">
        <f>VLOOKUP(A11,'Pivot Table'!$A$4:$B$42,2,FALSE)</f>
        <v>21.3</v>
      </c>
    </row>
    <row r="12" spans="1:7" ht="14.4" x14ac:dyDescent="0.3">
      <c r="A12" s="7" t="s">
        <v>14</v>
      </c>
      <c r="B12" s="11">
        <f>VLOOKUP(A12,'Pivot Table'!$A$8:$B$42,2,FALSE)</f>
        <v>33.799999999999997</v>
      </c>
      <c r="C12" s="11">
        <f>VLOOKUP(A12,'Pivot Table'!$A$4:$B$42,2,FALSE)</f>
        <v>33.799999999999997</v>
      </c>
      <c r="D12" s="11">
        <f>VLOOKUP(A12,'Pivot Table'!$A$4:$B$42,2,FALSE)</f>
        <v>33.799999999999997</v>
      </c>
      <c r="E12" s="11">
        <f>VLOOKUP(A12,'Pivot Table'!$A$4:$B$42,2,FALSE)</f>
        <v>33.799999999999997</v>
      </c>
      <c r="F12" s="8">
        <f>VLOOKUP(A12,'Pivot Table'!$A$4:$B$42,2,FALSE)</f>
        <v>33.799999999999997</v>
      </c>
    </row>
    <row r="13" spans="1:7" ht="14.4" x14ac:dyDescent="0.3">
      <c r="A13" s="7" t="s">
        <v>15</v>
      </c>
      <c r="B13" s="11">
        <f>VLOOKUP(A13,'Pivot Table'!$A$8:$B$42,2,FALSE)</f>
        <v>0</v>
      </c>
      <c r="C13" s="11">
        <f>VLOOKUP(A13,'Pivot Table'!$A$4:$B$42,2,FALSE)</f>
        <v>0</v>
      </c>
      <c r="D13" s="11">
        <f>VLOOKUP(A13,'Pivot Table'!$A$4:$B$42,2,FALSE)</f>
        <v>0</v>
      </c>
      <c r="E13" s="11">
        <f>VLOOKUP(A13,'Pivot Table'!$A$4:$B$42,2,FALSE)</f>
        <v>0</v>
      </c>
      <c r="F13" s="8">
        <f>VLOOKUP(A13,'Pivot Table'!$A$4:$B$42,2,FALSE)</f>
        <v>0</v>
      </c>
    </row>
    <row r="14" spans="1:7" ht="14.4" x14ac:dyDescent="0.3">
      <c r="A14" s="7" t="s">
        <v>16</v>
      </c>
      <c r="B14" s="11">
        <f>VLOOKUP(A14,'Pivot Table'!$A$8:$B$42,2,FALSE)</f>
        <v>40.1</v>
      </c>
      <c r="C14" s="11">
        <f>VLOOKUP(A14,'Pivot Table'!$A$4:$B$42,2,FALSE)</f>
        <v>40.1</v>
      </c>
      <c r="D14" s="11">
        <f>VLOOKUP(A14,'Pivot Table'!$A$4:$B$42,2,FALSE)</f>
        <v>40.1</v>
      </c>
      <c r="E14" s="11">
        <f>VLOOKUP(A14,'Pivot Table'!$A$4:$B$42,2,FALSE)</f>
        <v>40.1</v>
      </c>
      <c r="F14" s="8">
        <f>VLOOKUP(A14,'Pivot Table'!$A$4:$B$42,2,FALSE)</f>
        <v>40.1</v>
      </c>
    </row>
    <row r="15" spans="1:7" ht="14.4" x14ac:dyDescent="0.3">
      <c r="A15" s="7" t="s">
        <v>18</v>
      </c>
      <c r="B15" s="11">
        <f>VLOOKUP(A15,'Pivot Table'!$A$8:$B$42,2,FALSE)</f>
        <v>47.9</v>
      </c>
      <c r="C15" s="11">
        <f>VLOOKUP(A15,'Pivot Table'!$A$4:$B$42,2,FALSE)</f>
        <v>47.9</v>
      </c>
      <c r="D15" s="11">
        <f>VLOOKUP(A15,'Pivot Table'!$A$4:$B$42,2,FALSE)</f>
        <v>47.9</v>
      </c>
      <c r="E15" s="11">
        <f>VLOOKUP(A15,'Pivot Table'!$A$4:$B$42,2,FALSE)</f>
        <v>47.9</v>
      </c>
      <c r="F15" s="8">
        <f>VLOOKUP(A15,'Pivot Table'!$A$4:$B$42,2,FALSE)</f>
        <v>47.9</v>
      </c>
    </row>
    <row r="16" spans="1:7" ht="14.4" x14ac:dyDescent="0.3">
      <c r="A16" s="7" t="s">
        <v>20</v>
      </c>
      <c r="B16" s="11">
        <f>VLOOKUP(A16,'Pivot Table'!$A$8:$B$42,2,FALSE)</f>
        <v>52.3</v>
      </c>
      <c r="C16" s="11">
        <f>VLOOKUP(A16,'Pivot Table'!$A$4:$B$42,2,FALSE)</f>
        <v>52.3</v>
      </c>
      <c r="D16" s="11">
        <f>VLOOKUP(A16,'Pivot Table'!$A$4:$B$42,2,FALSE)</f>
        <v>52.3</v>
      </c>
      <c r="E16" s="11">
        <f>VLOOKUP(A16,'Pivot Table'!$A$4:$B$42,2,FALSE)</f>
        <v>52.3</v>
      </c>
      <c r="F16" s="8">
        <f>VLOOKUP(A16,'Pivot Table'!$A$4:$B$42,2,FALSE)</f>
        <v>52.3</v>
      </c>
    </row>
    <row r="17" spans="1:6" ht="14.4" x14ac:dyDescent="0.3">
      <c r="A17" s="7" t="s">
        <v>22</v>
      </c>
      <c r="B17" s="11">
        <f>VLOOKUP(A17,'Pivot Table'!$A$8:$B$42,2,FALSE)</f>
        <v>57</v>
      </c>
      <c r="C17" s="11">
        <f>VLOOKUP(A17,'Pivot Table'!$A$4:$B$42,2,FALSE)</f>
        <v>57</v>
      </c>
      <c r="D17" s="11">
        <f>VLOOKUP(A17,'Pivot Table'!$A$4:$B$42,2,FALSE)</f>
        <v>57</v>
      </c>
      <c r="E17" s="11">
        <f>VLOOKUP(A17,'Pivot Table'!$A$4:$B$42,2,FALSE)</f>
        <v>57</v>
      </c>
      <c r="F17" s="8">
        <f>VLOOKUP(A17,'Pivot Table'!$A$4:$B$42,2,FALSE)</f>
        <v>57</v>
      </c>
    </row>
    <row r="18" spans="1:6" ht="14.4" x14ac:dyDescent="0.3">
      <c r="A18" s="7" t="s">
        <v>23</v>
      </c>
      <c r="B18" s="11">
        <f>VLOOKUP(A18,'Pivot Table'!$A$8:$B$42,2,FALSE)</f>
        <v>61.4</v>
      </c>
      <c r="C18" s="11">
        <f>VLOOKUP(A18,'Pivot Table'!$A$4:$B$42,2,FALSE)</f>
        <v>61.4</v>
      </c>
      <c r="D18" s="11">
        <f>VLOOKUP(A18,'Pivot Table'!$A$4:$B$42,2,FALSE)</f>
        <v>61.4</v>
      </c>
      <c r="E18" s="11">
        <f>VLOOKUP(A18,'Pivot Table'!$A$4:$B$42,2,FALSE)</f>
        <v>61.4</v>
      </c>
      <c r="F18" s="8">
        <f>VLOOKUP(A18,'Pivot Table'!$A$4:$B$42,2,FALSE)</f>
        <v>61.4</v>
      </c>
    </row>
    <row r="19" spans="1:6" ht="14.4" x14ac:dyDescent="0.3">
      <c r="A19" s="7" t="s">
        <v>24</v>
      </c>
      <c r="B19" s="11">
        <f>VLOOKUP(A19,'Pivot Table'!$A$8:$B$42,2,FALSE)</f>
        <v>63.6</v>
      </c>
      <c r="C19" s="11">
        <f>VLOOKUP(A19,'Pivot Table'!$A$4:$B$42,2,FALSE)</f>
        <v>63.6</v>
      </c>
      <c r="D19" s="11">
        <f>VLOOKUP(A19,'Pivot Table'!$A$4:$B$42,2,FALSE)</f>
        <v>63.6</v>
      </c>
      <c r="E19" s="11">
        <f>VLOOKUP(A19,'Pivot Table'!$A$4:$B$42,2,FALSE)</f>
        <v>63.6</v>
      </c>
      <c r="F19" s="8">
        <f>VLOOKUP(A19,'Pivot Table'!$A$4:$B$42,2,FALSE)</f>
        <v>63.6</v>
      </c>
    </row>
    <row r="20" spans="1:6" ht="14.4" x14ac:dyDescent="0.3">
      <c r="A20" s="7" t="s">
        <v>28</v>
      </c>
      <c r="B20" s="11">
        <f>VLOOKUP(A20,'Pivot Table'!$A$8:$B$42,2,FALSE)</f>
        <v>0</v>
      </c>
      <c r="C20" s="11">
        <f>VLOOKUP(A20,'Pivot Table'!$A$4:$B$42,2,FALSE)</f>
        <v>0</v>
      </c>
      <c r="D20" s="11">
        <f>VLOOKUP(A20,'Pivot Table'!$A$4:$B$42,2,FALSE)</f>
        <v>0</v>
      </c>
      <c r="E20" s="11">
        <f>VLOOKUP(A20,'Pivot Table'!$A$4:$B$42,2,FALSE)</f>
        <v>0</v>
      </c>
      <c r="F20" s="8">
        <f>VLOOKUP(A20,'Pivot Table'!$A$4:$B$42,2,FALSE)</f>
        <v>0</v>
      </c>
    </row>
    <row r="21" spans="1:6" ht="14.4" x14ac:dyDescent="0.3">
      <c r="A21" s="7" t="s">
        <v>57</v>
      </c>
      <c r="B21" s="11">
        <f>VLOOKUP(A21,'Pivot Table'!$A$8:$B$42,2,FALSE)</f>
        <v>75</v>
      </c>
      <c r="C21" s="11">
        <f>VLOOKUP(A21,'Pivot Table'!$A$4:$B$42,2,FALSE)</f>
        <v>75</v>
      </c>
      <c r="D21" s="11">
        <f>VLOOKUP(A21,'Pivot Table'!$A$4:$B$42,2,FALSE)</f>
        <v>75</v>
      </c>
      <c r="E21" s="11">
        <f>VLOOKUP(A21,'Pivot Table'!$A$4:$B$42,2,FALSE)</f>
        <v>75</v>
      </c>
      <c r="F21" s="8">
        <f>VLOOKUP(A21,'Pivot Table'!$A$4:$B$42,2,FALSE)</f>
        <v>75</v>
      </c>
    </row>
    <row r="22" spans="1:6" ht="14.4" x14ac:dyDescent="0.3">
      <c r="A22" s="7" t="s">
        <v>58</v>
      </c>
      <c r="B22" s="11">
        <f>VLOOKUP(A22,'Pivot Table'!$A$8:$B$42,2,FALSE)</f>
        <v>-1</v>
      </c>
      <c r="C22" s="11">
        <f>VLOOKUP(A22,'Pivot Table'!$A$4:$B$42,2,FALSE)</f>
        <v>-1</v>
      </c>
      <c r="D22" s="11">
        <f>VLOOKUP(A22,'Pivot Table'!$A$4:$B$42,2,FALSE)</f>
        <v>-1</v>
      </c>
      <c r="E22" s="11">
        <f>VLOOKUP(A22,'Pivot Table'!$A$4:$B$42,2,FALSE)</f>
        <v>-1</v>
      </c>
      <c r="F22" s="8">
        <f>VLOOKUP(A22,'Pivot Table'!$A$4:$B$42,2,FALSE)</f>
        <v>-1</v>
      </c>
    </row>
    <row r="23" spans="1:6" ht="14.4" x14ac:dyDescent="0.3">
      <c r="A23" s="7" t="s">
        <v>31</v>
      </c>
      <c r="B23" s="11">
        <f>VLOOKUP(A23,'Pivot Table'!$A$8:$B$42,2,FALSE)</f>
        <v>79.400000000000006</v>
      </c>
      <c r="C23" s="11">
        <f>VLOOKUP(A23,'Pivot Table'!$A$4:$B$42,2,FALSE)</f>
        <v>79.400000000000006</v>
      </c>
      <c r="D23" s="11">
        <f>VLOOKUP(A23,'Pivot Table'!$A$4:$B$42,2,FALSE)</f>
        <v>79.400000000000006</v>
      </c>
      <c r="E23" s="11">
        <f>VLOOKUP(A23,'Pivot Table'!$A$4:$B$42,2,FALSE)</f>
        <v>79.400000000000006</v>
      </c>
      <c r="F23" s="8">
        <f>VLOOKUP(A23,'Pivot Table'!$A$4:$B$42,2,FALSE)</f>
        <v>79.400000000000006</v>
      </c>
    </row>
    <row r="24" spans="1:6" ht="14.4" x14ac:dyDescent="0.3">
      <c r="A24" s="7" t="s">
        <v>32</v>
      </c>
      <c r="B24" s="11">
        <f>VLOOKUP(A24,'Pivot Table'!$A$8:$B$42,2,FALSE)</f>
        <v>-1</v>
      </c>
      <c r="C24" s="11">
        <f>VLOOKUP(A24,'Pivot Table'!$A$4:$B$42,2,FALSE)</f>
        <v>-1</v>
      </c>
      <c r="D24" s="11">
        <f>VLOOKUP(A24,'Pivot Table'!$A$4:$B$42,2,FALSE)</f>
        <v>-1</v>
      </c>
      <c r="E24" s="11">
        <f>VLOOKUP(A24,'Pivot Table'!$A$4:$B$42,2,FALSE)</f>
        <v>-1</v>
      </c>
      <c r="F24" s="8">
        <f>VLOOKUP(A24,'Pivot Table'!$A$4:$B$42,2,FALSE)</f>
        <v>-1</v>
      </c>
    </row>
    <row r="25" spans="1:6" ht="14.4" x14ac:dyDescent="0.3">
      <c r="A25" s="7" t="s">
        <v>34</v>
      </c>
      <c r="B25" s="11">
        <f>VLOOKUP(A25,'Pivot Table'!$A$8:$B$42,2,FALSE)</f>
        <v>79.400000000000006</v>
      </c>
      <c r="C25" s="11">
        <f>VLOOKUP(A25,'Pivot Table'!$A$4:$B$42,2,FALSE)</f>
        <v>79.400000000000006</v>
      </c>
      <c r="D25" s="11">
        <f>VLOOKUP(A25,'Pivot Table'!$A$4:$B$42,2,FALSE)</f>
        <v>79.400000000000006</v>
      </c>
      <c r="E25" s="11">
        <f>VLOOKUP(A25,'Pivot Table'!$A$4:$B$42,2,FALSE)</f>
        <v>79.400000000000006</v>
      </c>
      <c r="F25" s="8">
        <f>VLOOKUP(A25,'Pivot Table'!$A$4:$B$42,2,FALSE)</f>
        <v>79.400000000000006</v>
      </c>
    </row>
    <row r="26" spans="1:6" ht="14.4" x14ac:dyDescent="0.3">
      <c r="A26" s="7" t="s">
        <v>37</v>
      </c>
      <c r="B26" s="11">
        <f>VLOOKUP(A26,'Pivot Table'!$A$8:$B$42,2,FALSE)</f>
        <v>90.9</v>
      </c>
      <c r="C26" s="11">
        <f>VLOOKUP(A26,'Pivot Table'!$A$4:$B$42,2,FALSE)</f>
        <v>90.9</v>
      </c>
      <c r="D26" s="11">
        <f>VLOOKUP(A26,'Pivot Table'!$A$4:$B$42,2,FALSE)</f>
        <v>90.9</v>
      </c>
      <c r="E26" s="11">
        <f>VLOOKUP(A26,'Pivot Table'!$A$4:$B$42,2,FALSE)</f>
        <v>90.9</v>
      </c>
      <c r="F26" s="8">
        <f>VLOOKUP(A26,'Pivot Table'!$A$4:$B$42,2,FALSE)</f>
        <v>90.9</v>
      </c>
    </row>
    <row r="27" spans="1:6" ht="14.4" x14ac:dyDescent="0.3">
      <c r="A27" s="7" t="s">
        <v>39</v>
      </c>
      <c r="B27" s="11">
        <f>VLOOKUP(A27,'Pivot Table'!$A$8:$B$42,2,FALSE)</f>
        <v>93.1</v>
      </c>
      <c r="C27" s="11">
        <f>VLOOKUP(A27,'Pivot Table'!$A$4:$B$42,2,FALSE)</f>
        <v>93.1</v>
      </c>
      <c r="D27" s="11">
        <f>VLOOKUP(A27,'Pivot Table'!$A$4:$B$42,2,FALSE)</f>
        <v>93.1</v>
      </c>
      <c r="E27" s="11">
        <f>VLOOKUP(A27,'Pivot Table'!$A$4:$B$42,2,FALSE)</f>
        <v>93.1</v>
      </c>
      <c r="F27" s="8">
        <f>VLOOKUP(A27,'Pivot Table'!$A$4:$B$42,2,FALSE)</f>
        <v>93.1</v>
      </c>
    </row>
    <row r="28" spans="1:6" ht="14.4" x14ac:dyDescent="0.3">
      <c r="A28" s="15" t="s">
        <v>82</v>
      </c>
      <c r="B28" s="50">
        <f>MIN(B6:B27)</f>
        <v>-1</v>
      </c>
      <c r="C28" s="50">
        <f t="shared" ref="C28:F28" si="0">MIN(C6:C27)</f>
        <v>-1</v>
      </c>
      <c r="D28" s="50">
        <f t="shared" si="0"/>
        <v>-1</v>
      </c>
      <c r="E28" s="50">
        <f t="shared" si="0"/>
        <v>-1</v>
      </c>
      <c r="F28" s="50">
        <f t="shared" si="0"/>
        <v>-1</v>
      </c>
    </row>
    <row r="29" spans="1:6" ht="14.4" x14ac:dyDescent="0.3">
      <c r="A29" s="15" t="s">
        <v>83</v>
      </c>
      <c r="B29" s="50">
        <f>MAX(B6:B27)</f>
        <v>93.1</v>
      </c>
      <c r="C29" s="50">
        <f t="shared" ref="C29:F29" si="1">MAX(C6:C27)</f>
        <v>93.1</v>
      </c>
      <c r="D29" s="50">
        <f t="shared" si="1"/>
        <v>93.1</v>
      </c>
      <c r="E29" s="50">
        <f t="shared" si="1"/>
        <v>93.1</v>
      </c>
      <c r="F29" s="50">
        <f t="shared" si="1"/>
        <v>93.1</v>
      </c>
    </row>
    <row r="30" spans="1:6" ht="14.4" x14ac:dyDescent="0.3">
      <c r="A30" s="15" t="s">
        <v>84</v>
      </c>
      <c r="B30" s="50">
        <f>AVERAGE(B6:B27)</f>
        <v>37.699999999999996</v>
      </c>
      <c r="C30" s="50">
        <f t="shared" ref="C30:F30" si="2">AVERAGE(C6:C27)</f>
        <v>37.800000000000004</v>
      </c>
      <c r="D30" s="50">
        <f t="shared" si="2"/>
        <v>37.800000000000004</v>
      </c>
      <c r="E30" s="50">
        <f t="shared" si="2"/>
        <v>37.800000000000004</v>
      </c>
      <c r="F30" s="50">
        <f t="shared" si="2"/>
        <v>37.800000000000004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60"/>
  <sheetViews>
    <sheetView topLeftCell="A55" zoomScaleNormal="100" workbookViewId="0">
      <selection activeCell="A56" sqref="A56:F60"/>
    </sheetView>
  </sheetViews>
  <sheetFormatPr defaultColWidth="11" defaultRowHeight="14.4" x14ac:dyDescent="0.3"/>
  <cols>
    <col min="1" max="1" width="39.77734375" style="1" bestFit="1" customWidth="1"/>
    <col min="2" max="16384" width="11" style="1"/>
  </cols>
  <sheetData>
    <row r="1" spans="1:10" s="31" customFormat="1" ht="21" x14ac:dyDescent="0.4">
      <c r="A1" s="32" t="s">
        <v>56</v>
      </c>
      <c r="B1" s="31" t="s">
        <v>171</v>
      </c>
    </row>
    <row r="2" spans="1:10" customFormat="1" ht="13.2" x14ac:dyDescent="0.25"/>
    <row r="3" spans="1:10" s="2" customFormat="1" x14ac:dyDescent="0.3">
      <c r="B3" s="1"/>
    </row>
    <row r="4" spans="1:10" s="2" customFormat="1" x14ac:dyDescent="0.3">
      <c r="B4" s="1" t="s">
        <v>149</v>
      </c>
    </row>
    <row r="5" spans="1:10" ht="18" x14ac:dyDescent="0.35">
      <c r="A5" s="33" t="s">
        <v>53</v>
      </c>
      <c r="B5" s="30"/>
    </row>
    <row r="6" spans="1:10" ht="18" x14ac:dyDescent="0.35">
      <c r="A6" s="33" t="s">
        <v>151</v>
      </c>
      <c r="B6" s="30"/>
    </row>
    <row r="7" spans="1:10" ht="18" x14ac:dyDescent="0.35">
      <c r="A7" s="33"/>
      <c r="B7" s="30"/>
    </row>
    <row r="9" spans="1:10" ht="23.4" x14ac:dyDescent="0.45">
      <c r="A9" s="14" t="s">
        <v>163</v>
      </c>
      <c r="I9" s="2"/>
      <c r="J9" s="2"/>
    </row>
    <row r="10" spans="1:10" x14ac:dyDescent="0.3">
      <c r="A10" s="23" t="s">
        <v>100</v>
      </c>
      <c r="B10" s="13" t="s">
        <v>49</v>
      </c>
      <c r="C10" s="13" t="s">
        <v>50</v>
      </c>
      <c r="D10" s="13" t="s">
        <v>51</v>
      </c>
      <c r="E10" s="13" t="s">
        <v>52</v>
      </c>
      <c r="F10" s="13" t="s">
        <v>54</v>
      </c>
      <c r="I10" s="2"/>
      <c r="J10" s="2"/>
    </row>
    <row r="11" spans="1:10" x14ac:dyDescent="0.3">
      <c r="A11" s="9" t="s">
        <v>119</v>
      </c>
      <c r="B11" s="12">
        <v>20000</v>
      </c>
      <c r="C11" s="12" t="s">
        <v>5</v>
      </c>
      <c r="D11" s="12">
        <v>0</v>
      </c>
      <c r="E11" s="10" t="s">
        <v>6</v>
      </c>
      <c r="F11" s="10">
        <v>24</v>
      </c>
      <c r="I11" s="2"/>
      <c r="J11" s="2"/>
    </row>
    <row r="14" spans="1:10" ht="23.4" x14ac:dyDescent="0.45">
      <c r="A14" s="14" t="s">
        <v>160</v>
      </c>
    </row>
    <row r="15" spans="1:10" x14ac:dyDescent="0.3">
      <c r="A15" s="51" t="s">
        <v>101</v>
      </c>
      <c r="B15" s="51" t="s">
        <v>49</v>
      </c>
      <c r="C15" s="51" t="s">
        <v>50</v>
      </c>
      <c r="D15" s="51" t="s">
        <v>51</v>
      </c>
      <c r="E15" s="51" t="s">
        <v>52</v>
      </c>
      <c r="F15" s="51" t="s">
        <v>54</v>
      </c>
    </row>
    <row r="16" spans="1:10" x14ac:dyDescent="0.3">
      <c r="A16" s="42" t="s">
        <v>119</v>
      </c>
      <c r="B16" s="42">
        <v>20000</v>
      </c>
      <c r="C16" s="42" t="s">
        <v>5</v>
      </c>
      <c r="D16" s="42">
        <v>0</v>
      </c>
      <c r="E16" s="42" t="s">
        <v>6</v>
      </c>
      <c r="F16" s="42">
        <v>24</v>
      </c>
    </row>
    <row r="17" spans="1:6" x14ac:dyDescent="0.3">
      <c r="A17" s="42" t="s">
        <v>120</v>
      </c>
      <c r="B17" s="42">
        <v>20002</v>
      </c>
      <c r="C17" s="42" t="s">
        <v>5</v>
      </c>
      <c r="D17" s="42">
        <v>0</v>
      </c>
      <c r="E17" s="42" t="s">
        <v>6</v>
      </c>
      <c r="F17" s="42">
        <v>24</v>
      </c>
    </row>
    <row r="18" spans="1:6" x14ac:dyDescent="0.3">
      <c r="A18" s="42" t="s">
        <v>121</v>
      </c>
      <c r="B18" s="42">
        <v>20004</v>
      </c>
      <c r="C18" s="42" t="s">
        <v>5</v>
      </c>
      <c r="D18" s="42">
        <v>0</v>
      </c>
      <c r="E18" s="42" t="s">
        <v>6</v>
      </c>
      <c r="F18" s="42">
        <v>24</v>
      </c>
    </row>
    <row r="19" spans="1:6" x14ac:dyDescent="0.3">
      <c r="A19" s="42" t="s">
        <v>122</v>
      </c>
      <c r="B19" s="42">
        <v>20006</v>
      </c>
      <c r="C19" s="42" t="s">
        <v>5</v>
      </c>
      <c r="D19" s="42">
        <v>0</v>
      </c>
      <c r="E19" s="42" t="s">
        <v>6</v>
      </c>
      <c r="F19" s="42">
        <v>24</v>
      </c>
    </row>
    <row r="20" spans="1:6" x14ac:dyDescent="0.3">
      <c r="A20" s="42" t="s">
        <v>123</v>
      </c>
      <c r="B20" s="42">
        <v>20008</v>
      </c>
      <c r="C20" s="42" t="s">
        <v>5</v>
      </c>
      <c r="D20" s="42">
        <v>0</v>
      </c>
      <c r="E20" s="42" t="s">
        <v>6</v>
      </c>
      <c r="F20" s="42">
        <v>24</v>
      </c>
    </row>
    <row r="21" spans="1:6" x14ac:dyDescent="0.3">
      <c r="A21" s="42" t="s">
        <v>124</v>
      </c>
      <c r="B21" s="42">
        <v>20010</v>
      </c>
      <c r="C21" s="42" t="s">
        <v>5</v>
      </c>
      <c r="D21" s="42">
        <v>0</v>
      </c>
      <c r="E21" s="42" t="s">
        <v>6</v>
      </c>
      <c r="F21" s="42">
        <v>24</v>
      </c>
    </row>
    <row r="22" spans="1:6" x14ac:dyDescent="0.3">
      <c r="A22" s="42" t="s">
        <v>125</v>
      </c>
      <c r="B22" s="42">
        <v>20012</v>
      </c>
      <c r="C22" s="42" t="s">
        <v>5</v>
      </c>
      <c r="D22" s="42">
        <v>0</v>
      </c>
      <c r="E22" s="42" t="s">
        <v>6</v>
      </c>
      <c r="F22" s="42">
        <v>24</v>
      </c>
    </row>
    <row r="23" spans="1:6" x14ac:dyDescent="0.3">
      <c r="A23" s="42" t="s">
        <v>126</v>
      </c>
      <c r="B23" s="42">
        <v>20014</v>
      </c>
      <c r="C23" s="42" t="s">
        <v>5</v>
      </c>
      <c r="D23" s="42">
        <v>0</v>
      </c>
      <c r="E23" s="42" t="s">
        <v>6</v>
      </c>
      <c r="F23" s="42">
        <v>24</v>
      </c>
    </row>
    <row r="24" spans="1:6" x14ac:dyDescent="0.3">
      <c r="A24" s="42" t="s">
        <v>127</v>
      </c>
      <c r="B24" s="42">
        <v>20016</v>
      </c>
      <c r="C24" s="42" t="s">
        <v>5</v>
      </c>
      <c r="D24" s="42">
        <v>0</v>
      </c>
      <c r="E24" s="42" t="s">
        <v>6</v>
      </c>
      <c r="F24" s="42">
        <v>24</v>
      </c>
    </row>
    <row r="25" spans="1:6" x14ac:dyDescent="0.3">
      <c r="A25" s="42" t="s">
        <v>128</v>
      </c>
      <c r="B25" s="42">
        <v>20018</v>
      </c>
      <c r="C25" s="42" t="s">
        <v>5</v>
      </c>
      <c r="D25" s="42">
        <v>0</v>
      </c>
      <c r="E25" s="42" t="s">
        <v>6</v>
      </c>
      <c r="F25" s="42">
        <v>24</v>
      </c>
    </row>
    <row r="26" spans="1:6" x14ac:dyDescent="0.3">
      <c r="A26" s="42" t="s">
        <v>129</v>
      </c>
      <c r="B26" s="42">
        <v>20020</v>
      </c>
      <c r="C26" s="42" t="s">
        <v>5</v>
      </c>
      <c r="D26" s="42">
        <v>0</v>
      </c>
      <c r="E26" s="42" t="s">
        <v>6</v>
      </c>
      <c r="F26" s="42">
        <v>24</v>
      </c>
    </row>
    <row r="27" spans="1:6" x14ac:dyDescent="0.3">
      <c r="A27" s="42" t="s">
        <v>130</v>
      </c>
      <c r="B27" s="42">
        <v>20022</v>
      </c>
      <c r="C27" s="42" t="s">
        <v>5</v>
      </c>
      <c r="D27" s="42">
        <v>0</v>
      </c>
      <c r="E27" s="42" t="s">
        <v>6</v>
      </c>
      <c r="F27" s="42">
        <v>24</v>
      </c>
    </row>
    <row r="28" spans="1:6" x14ac:dyDescent="0.3">
      <c r="A28" s="42" t="s">
        <v>131</v>
      </c>
      <c r="B28" s="42">
        <v>20024</v>
      </c>
      <c r="C28" s="42" t="s">
        <v>5</v>
      </c>
      <c r="D28" s="42">
        <v>0</v>
      </c>
      <c r="E28" s="42" t="s">
        <v>6</v>
      </c>
      <c r="F28" s="42">
        <v>24</v>
      </c>
    </row>
    <row r="29" spans="1:6" x14ac:dyDescent="0.3">
      <c r="A29" s="42" t="s">
        <v>132</v>
      </c>
      <c r="B29" s="42">
        <v>20026</v>
      </c>
      <c r="C29" s="42" t="s">
        <v>5</v>
      </c>
      <c r="D29" s="42">
        <v>0</v>
      </c>
      <c r="E29" s="42" t="s">
        <v>6</v>
      </c>
      <c r="F29" s="42">
        <v>24</v>
      </c>
    </row>
    <row r="30" spans="1:6" x14ac:dyDescent="0.3">
      <c r="A30" s="42" t="s">
        <v>133</v>
      </c>
      <c r="B30" s="42">
        <v>20028</v>
      </c>
      <c r="C30" s="42" t="s">
        <v>5</v>
      </c>
      <c r="D30" s="42">
        <v>0</v>
      </c>
      <c r="E30" s="42" t="s">
        <v>6</v>
      </c>
      <c r="F30" s="42">
        <v>24</v>
      </c>
    </row>
    <row r="31" spans="1:6" x14ac:dyDescent="0.3">
      <c r="A31" s="42" t="s">
        <v>134</v>
      </c>
      <c r="B31" s="42">
        <v>20030</v>
      </c>
      <c r="C31" s="42" t="s">
        <v>5</v>
      </c>
      <c r="D31" s="42">
        <v>0</v>
      </c>
      <c r="E31" s="42" t="s">
        <v>6</v>
      </c>
      <c r="F31" s="42">
        <v>24</v>
      </c>
    </row>
    <row r="32" spans="1:6" x14ac:dyDescent="0.3">
      <c r="A32" s="42" t="s">
        <v>135</v>
      </c>
      <c r="B32" s="42">
        <v>20032</v>
      </c>
      <c r="C32" s="42" t="s">
        <v>5</v>
      </c>
      <c r="D32" s="42">
        <v>0</v>
      </c>
      <c r="E32" s="42" t="s">
        <v>6</v>
      </c>
      <c r="F32" s="42">
        <v>24</v>
      </c>
    </row>
    <row r="33" spans="1:6" x14ac:dyDescent="0.3">
      <c r="A33" s="42" t="s">
        <v>136</v>
      </c>
      <c r="B33" s="42">
        <v>20034</v>
      </c>
      <c r="C33" s="42" t="s">
        <v>5</v>
      </c>
      <c r="D33" s="42">
        <v>0</v>
      </c>
      <c r="E33" s="42" t="s">
        <v>6</v>
      </c>
      <c r="F33" s="42">
        <v>24</v>
      </c>
    </row>
    <row r="34" spans="1:6" x14ac:dyDescent="0.3">
      <c r="A34" s="42" t="s">
        <v>137</v>
      </c>
      <c r="B34" s="42">
        <v>20036</v>
      </c>
      <c r="C34" s="42" t="s">
        <v>5</v>
      </c>
      <c r="D34" s="42">
        <v>0</v>
      </c>
      <c r="E34" s="42" t="s">
        <v>6</v>
      </c>
      <c r="F34" s="42">
        <v>24</v>
      </c>
    </row>
    <row r="35" spans="1:6" x14ac:dyDescent="0.3">
      <c r="A35" s="42" t="s">
        <v>138</v>
      </c>
      <c r="B35" s="42">
        <v>20038</v>
      </c>
      <c r="C35" s="42" t="s">
        <v>5</v>
      </c>
      <c r="D35" s="42">
        <v>0</v>
      </c>
      <c r="E35" s="42" t="s">
        <v>6</v>
      </c>
      <c r="F35" s="42">
        <v>24</v>
      </c>
    </row>
    <row r="36" spans="1:6" x14ac:dyDescent="0.3">
      <c r="A36" s="42" t="s">
        <v>139</v>
      </c>
      <c r="B36" s="42">
        <v>20040</v>
      </c>
      <c r="C36" s="42" t="s">
        <v>5</v>
      </c>
      <c r="D36" s="42">
        <v>0</v>
      </c>
      <c r="E36" s="42" t="s">
        <v>6</v>
      </c>
      <c r="F36" s="42">
        <v>24</v>
      </c>
    </row>
    <row r="37" spans="1:6" x14ac:dyDescent="0.3">
      <c r="A37" s="42" t="s">
        <v>140</v>
      </c>
      <c r="B37" s="42">
        <v>20042</v>
      </c>
      <c r="C37" s="42" t="s">
        <v>5</v>
      </c>
      <c r="D37" s="42">
        <v>0</v>
      </c>
      <c r="E37" s="42" t="s">
        <v>6</v>
      </c>
      <c r="F37" s="42">
        <v>24</v>
      </c>
    </row>
    <row r="38" spans="1:6" x14ac:dyDescent="0.3">
      <c r="A38" s="42" t="s">
        <v>141</v>
      </c>
      <c r="B38" s="42">
        <v>20044</v>
      </c>
      <c r="C38" s="42" t="s">
        <v>5</v>
      </c>
      <c r="D38" s="42">
        <v>0</v>
      </c>
      <c r="E38" s="42" t="s">
        <v>6</v>
      </c>
      <c r="F38" s="42">
        <v>24</v>
      </c>
    </row>
    <row r="39" spans="1:6" x14ac:dyDescent="0.3">
      <c r="A39" s="42" t="s">
        <v>142</v>
      </c>
      <c r="B39" s="42">
        <v>20046</v>
      </c>
      <c r="C39" s="42" t="s">
        <v>5</v>
      </c>
      <c r="D39" s="42">
        <v>0</v>
      </c>
      <c r="E39" s="42" t="s">
        <v>6</v>
      </c>
      <c r="F39" s="42">
        <v>24</v>
      </c>
    </row>
    <row r="40" spans="1:6" x14ac:dyDescent="0.3">
      <c r="A40" s="42" t="s">
        <v>143</v>
      </c>
      <c r="B40" s="42">
        <v>20048</v>
      </c>
      <c r="C40" s="42" t="s">
        <v>5</v>
      </c>
      <c r="D40" s="42">
        <v>0</v>
      </c>
      <c r="E40" s="42" t="s">
        <v>6</v>
      </c>
      <c r="F40" s="42">
        <v>24</v>
      </c>
    </row>
    <row r="41" spans="1:6" x14ac:dyDescent="0.3">
      <c r="A41" s="42" t="s">
        <v>144</v>
      </c>
      <c r="B41" s="42">
        <v>20050</v>
      </c>
      <c r="C41" s="42" t="s">
        <v>5</v>
      </c>
      <c r="D41" s="42">
        <v>0</v>
      </c>
      <c r="E41" s="42" t="s">
        <v>6</v>
      </c>
      <c r="F41" s="42">
        <v>24</v>
      </c>
    </row>
    <row r="42" spans="1:6" x14ac:dyDescent="0.3">
      <c r="A42" s="42" t="s">
        <v>145</v>
      </c>
      <c r="B42" s="42">
        <v>20052</v>
      </c>
      <c r="C42" s="42" t="s">
        <v>5</v>
      </c>
      <c r="D42" s="42">
        <v>0</v>
      </c>
      <c r="E42" s="42" t="s">
        <v>6</v>
      </c>
      <c r="F42" s="42">
        <v>24</v>
      </c>
    </row>
    <row r="43" spans="1:6" x14ac:dyDescent="0.3">
      <c r="A43" s="42" t="s">
        <v>146</v>
      </c>
      <c r="B43" s="42">
        <v>20054</v>
      </c>
      <c r="C43" s="42" t="s">
        <v>5</v>
      </c>
      <c r="D43" s="42">
        <v>0</v>
      </c>
      <c r="E43" s="42" t="s">
        <v>6</v>
      </c>
      <c r="F43" s="42">
        <v>24</v>
      </c>
    </row>
    <row r="44" spans="1:6" x14ac:dyDescent="0.3">
      <c r="A44" s="42" t="s">
        <v>147</v>
      </c>
      <c r="B44" s="42">
        <v>20058</v>
      </c>
      <c r="C44" s="42" t="s">
        <v>5</v>
      </c>
      <c r="D44" s="42">
        <v>0</v>
      </c>
      <c r="E44" s="42" t="s">
        <v>6</v>
      </c>
      <c r="F44" s="42">
        <v>24</v>
      </c>
    </row>
    <row r="45" spans="1:6" x14ac:dyDescent="0.3">
      <c r="A45" s="42" t="s">
        <v>148</v>
      </c>
      <c r="B45" s="42">
        <v>20060</v>
      </c>
      <c r="C45" s="42" t="s">
        <v>5</v>
      </c>
      <c r="D45" s="42">
        <v>0</v>
      </c>
      <c r="E45" s="42" t="s">
        <v>6</v>
      </c>
      <c r="F45" s="42">
        <v>24</v>
      </c>
    </row>
    <row r="46" spans="1:6" x14ac:dyDescent="0.3">
      <c r="A46" s="42" t="s">
        <v>110</v>
      </c>
      <c r="B46" s="42">
        <v>21000</v>
      </c>
      <c r="C46" s="42" t="s">
        <v>5</v>
      </c>
      <c r="D46" s="42">
        <v>0</v>
      </c>
      <c r="E46" s="42" t="s">
        <v>6</v>
      </c>
      <c r="F46" s="42">
        <v>24</v>
      </c>
    </row>
    <row r="47" spans="1:6" x14ac:dyDescent="0.3">
      <c r="A47" s="42" t="s">
        <v>111</v>
      </c>
      <c r="B47" s="42">
        <v>21002</v>
      </c>
      <c r="C47" s="42" t="s">
        <v>5</v>
      </c>
      <c r="D47" s="42">
        <v>0</v>
      </c>
      <c r="E47" s="42" t="s">
        <v>6</v>
      </c>
      <c r="F47" s="42">
        <v>24</v>
      </c>
    </row>
    <row r="48" spans="1:6" x14ac:dyDescent="0.3">
      <c r="A48" s="42" t="s">
        <v>112</v>
      </c>
      <c r="B48" s="42">
        <v>21004</v>
      </c>
      <c r="C48" s="42" t="s">
        <v>5</v>
      </c>
      <c r="D48" s="42">
        <v>0</v>
      </c>
      <c r="E48" s="42" t="s">
        <v>6</v>
      </c>
      <c r="F48" s="42">
        <v>24</v>
      </c>
    </row>
    <row r="49" spans="1:6" x14ac:dyDescent="0.3">
      <c r="A49" s="42" t="s">
        <v>113</v>
      </c>
      <c r="B49" s="42">
        <v>21006</v>
      </c>
      <c r="C49" s="42" t="s">
        <v>5</v>
      </c>
      <c r="D49" s="42">
        <v>0</v>
      </c>
      <c r="E49" s="42" t="s">
        <v>6</v>
      </c>
      <c r="F49" s="42">
        <v>24</v>
      </c>
    </row>
    <row r="50" spans="1:6" x14ac:dyDescent="0.3">
      <c r="A50" s="42" t="s">
        <v>114</v>
      </c>
      <c r="B50" s="42">
        <v>21008</v>
      </c>
      <c r="C50" s="42" t="s">
        <v>5</v>
      </c>
      <c r="D50" s="42">
        <v>0</v>
      </c>
      <c r="E50" s="42" t="s">
        <v>6</v>
      </c>
      <c r="F50" s="42">
        <v>24</v>
      </c>
    </row>
    <row r="51" spans="1:6" x14ac:dyDescent="0.3">
      <c r="A51" s="42" t="s">
        <v>115</v>
      </c>
      <c r="B51" s="42">
        <v>21010</v>
      </c>
      <c r="C51" s="42" t="s">
        <v>5</v>
      </c>
      <c r="D51" s="42">
        <v>0</v>
      </c>
      <c r="E51" s="42" t="s">
        <v>6</v>
      </c>
      <c r="F51" s="42">
        <v>24</v>
      </c>
    </row>
    <row r="52" spans="1:6" x14ac:dyDescent="0.3">
      <c r="A52" s="42" t="s">
        <v>116</v>
      </c>
      <c r="B52" s="42">
        <v>21012</v>
      </c>
      <c r="C52" s="42" t="s">
        <v>5</v>
      </c>
      <c r="D52" s="42">
        <v>0</v>
      </c>
      <c r="E52" s="42" t="s">
        <v>6</v>
      </c>
      <c r="F52" s="42">
        <v>24</v>
      </c>
    </row>
    <row r="53" spans="1:6" x14ac:dyDescent="0.3">
      <c r="A53" s="42" t="s">
        <v>117</v>
      </c>
      <c r="B53" s="42">
        <v>21014</v>
      </c>
      <c r="C53" s="42" t="s">
        <v>5</v>
      </c>
      <c r="D53" s="42">
        <v>0</v>
      </c>
      <c r="E53" s="42" t="s">
        <v>6</v>
      </c>
      <c r="F53" s="42">
        <v>24</v>
      </c>
    </row>
    <row r="54" spans="1:6" x14ac:dyDescent="0.3">
      <c r="A54" s="42" t="s">
        <v>118</v>
      </c>
      <c r="B54" s="42">
        <v>21016</v>
      </c>
      <c r="C54" s="42" t="s">
        <v>5</v>
      </c>
      <c r="D54" s="42">
        <v>0</v>
      </c>
      <c r="E54" s="42" t="s">
        <v>6</v>
      </c>
      <c r="F54" s="42">
        <v>24</v>
      </c>
    </row>
    <row r="55" spans="1:6" ht="15" thickBot="1" x14ac:dyDescent="0.35"/>
    <row r="56" spans="1:6" x14ac:dyDescent="0.3">
      <c r="A56" s="55" t="s">
        <v>186</v>
      </c>
      <c r="B56" s="56"/>
      <c r="C56" s="56"/>
      <c r="D56" s="56"/>
      <c r="E56" s="56"/>
      <c r="F56" s="57"/>
    </row>
    <row r="57" spans="1:6" x14ac:dyDescent="0.3">
      <c r="A57" s="58"/>
      <c r="B57" s="59"/>
      <c r="C57" s="59"/>
      <c r="D57" s="59"/>
      <c r="E57" s="59"/>
      <c r="F57" s="60"/>
    </row>
    <row r="58" spans="1:6" x14ac:dyDescent="0.3">
      <c r="A58" s="58"/>
      <c r="B58" s="59"/>
      <c r="C58" s="59"/>
      <c r="D58" s="59"/>
      <c r="E58" s="59"/>
      <c r="F58" s="60"/>
    </row>
    <row r="59" spans="1:6" x14ac:dyDescent="0.3">
      <c r="A59" s="58"/>
      <c r="B59" s="59"/>
      <c r="C59" s="59"/>
      <c r="D59" s="59"/>
      <c r="E59" s="59"/>
      <c r="F59" s="60"/>
    </row>
    <row r="60" spans="1:6" ht="15" thickBot="1" x14ac:dyDescent="0.35">
      <c r="A60" s="61"/>
      <c r="B60" s="62"/>
      <c r="C60" s="62"/>
      <c r="D60" s="62"/>
      <c r="E60" s="62"/>
      <c r="F60" s="63"/>
    </row>
  </sheetData>
  <mergeCells count="1">
    <mergeCell ref="A56:F60"/>
  </mergeCells>
  <phoneticPr fontId="1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F29"/>
  <sheetViews>
    <sheetView zoomScaleNormal="100" workbookViewId="0">
      <selection activeCell="E22" sqref="E22"/>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32" t="s">
        <v>85</v>
      </c>
      <c r="B1" s="31" t="s">
        <v>164</v>
      </c>
    </row>
    <row r="2" spans="1:3" ht="18" x14ac:dyDescent="0.35">
      <c r="B2" s="30" t="s">
        <v>187</v>
      </c>
    </row>
    <row r="5" spans="1:3" ht="14.4" x14ac:dyDescent="0.3">
      <c r="B5" s="1" t="s">
        <v>149</v>
      </c>
    </row>
    <row r="6" spans="1:3" ht="14.4" x14ac:dyDescent="0.3">
      <c r="A6" s="3" t="s">
        <v>53</v>
      </c>
      <c r="B6" s="1"/>
    </row>
    <row r="7" spans="1:3" ht="14.4" x14ac:dyDescent="0.3">
      <c r="A7" s="3" t="s">
        <v>151</v>
      </c>
      <c r="B7" s="1"/>
    </row>
    <row r="10" spans="1:3" ht="23.4" x14ac:dyDescent="0.45">
      <c r="A10" s="14" t="s">
        <v>160</v>
      </c>
    </row>
    <row r="11" spans="1:3" ht="14.4" x14ac:dyDescent="0.3">
      <c r="A11" s="22" t="s">
        <v>86</v>
      </c>
      <c r="B11" s="13" t="s">
        <v>87</v>
      </c>
      <c r="C11" s="13" t="s">
        <v>88</v>
      </c>
    </row>
    <row r="12" spans="1:3" ht="14.4" x14ac:dyDescent="0.3">
      <c r="A12" s="22">
        <v>44927</v>
      </c>
      <c r="B12" s="13" t="s">
        <v>59</v>
      </c>
      <c r="C12" s="13">
        <v>200</v>
      </c>
    </row>
    <row r="13" spans="1:3" ht="14.4" x14ac:dyDescent="0.3">
      <c r="A13" s="22">
        <v>44928</v>
      </c>
      <c r="B13" s="13" t="s">
        <v>60</v>
      </c>
      <c r="C13" s="13">
        <v>20</v>
      </c>
    </row>
    <row r="14" spans="1:3" ht="14.4" x14ac:dyDescent="0.3">
      <c r="A14" s="22">
        <v>44929</v>
      </c>
      <c r="B14" s="13" t="s">
        <v>61</v>
      </c>
      <c r="C14" s="13">
        <v>50</v>
      </c>
    </row>
    <row r="15" spans="1:3" ht="14.4" x14ac:dyDescent="0.3">
      <c r="A15" s="22">
        <v>44930</v>
      </c>
      <c r="B15" s="13" t="s">
        <v>62</v>
      </c>
      <c r="C15" s="13">
        <v>20</v>
      </c>
    </row>
    <row r="16" spans="1:3" ht="14.4" x14ac:dyDescent="0.3">
      <c r="A16" s="22">
        <v>44931</v>
      </c>
      <c r="B16" s="13" t="s">
        <v>63</v>
      </c>
      <c r="C16" s="13">
        <v>10</v>
      </c>
    </row>
    <row r="17" spans="1:6" ht="14.4" x14ac:dyDescent="0.3">
      <c r="A17" s="22">
        <v>44932</v>
      </c>
      <c r="B17" s="13" t="s">
        <v>152</v>
      </c>
      <c r="C17" s="13">
        <v>150</v>
      </c>
    </row>
    <row r="18" spans="1:6" ht="14.4" x14ac:dyDescent="0.3">
      <c r="A18" s="22">
        <v>44933</v>
      </c>
      <c r="B18" s="13" t="s">
        <v>153</v>
      </c>
      <c r="C18" s="13">
        <v>80</v>
      </c>
    </row>
    <row r="19" spans="1:6" ht="14.4" x14ac:dyDescent="0.3">
      <c r="A19" s="22">
        <v>44934</v>
      </c>
      <c r="B19" s="13" t="s">
        <v>154</v>
      </c>
      <c r="C19" s="13">
        <v>20</v>
      </c>
    </row>
    <row r="20" spans="1:6" ht="14.4" x14ac:dyDescent="0.3">
      <c r="A20" s="22">
        <v>44935</v>
      </c>
      <c r="B20" s="13" t="s">
        <v>155</v>
      </c>
      <c r="C20" s="13">
        <v>30</v>
      </c>
    </row>
    <row r="21" spans="1:6" ht="14.4" x14ac:dyDescent="0.3">
      <c r="A21" s="22">
        <v>44936</v>
      </c>
      <c r="B21" s="13" t="s">
        <v>156</v>
      </c>
      <c r="C21" s="13">
        <v>20</v>
      </c>
    </row>
    <row r="22" spans="1:6" ht="14.4" x14ac:dyDescent="0.3">
      <c r="B22" s="15" t="s">
        <v>157</v>
      </c>
      <c r="C22" s="21">
        <f>SUM(C12:C21)</f>
        <v>600</v>
      </c>
    </row>
    <row r="24" spans="1:6" ht="14.4" thickBot="1" x14ac:dyDescent="0.35"/>
    <row r="25" spans="1:6" x14ac:dyDescent="0.3">
      <c r="A25" s="55" t="s">
        <v>188</v>
      </c>
      <c r="B25" s="56"/>
      <c r="C25" s="56"/>
      <c r="D25" s="56"/>
      <c r="E25" s="56"/>
      <c r="F25" s="57"/>
    </row>
    <row r="26" spans="1:6" x14ac:dyDescent="0.3">
      <c r="A26" s="58"/>
      <c r="B26" s="59"/>
      <c r="C26" s="59"/>
      <c r="D26" s="59"/>
      <c r="E26" s="59"/>
      <c r="F26" s="60"/>
    </row>
    <row r="27" spans="1:6" x14ac:dyDescent="0.3">
      <c r="A27" s="58"/>
      <c r="B27" s="59"/>
      <c r="C27" s="59"/>
      <c r="D27" s="59"/>
      <c r="E27" s="59"/>
      <c r="F27" s="60"/>
    </row>
    <row r="28" spans="1:6" x14ac:dyDescent="0.3">
      <c r="A28" s="58"/>
      <c r="B28" s="59"/>
      <c r="C28" s="59"/>
      <c r="D28" s="59"/>
      <c r="E28" s="59"/>
      <c r="F28" s="60"/>
    </row>
    <row r="29" spans="1:6" ht="14.4" thickBot="1" x14ac:dyDescent="0.35">
      <c r="A29" s="61"/>
      <c r="B29" s="62"/>
      <c r="C29" s="62"/>
      <c r="D29" s="62"/>
      <c r="E29" s="62"/>
      <c r="F29" s="63"/>
    </row>
  </sheetData>
  <mergeCells count="1">
    <mergeCell ref="A25:F2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zoomScaleNormal="100" workbookViewId="0">
      <selection activeCell="J25" sqref="J25"/>
    </sheetView>
  </sheetViews>
  <sheetFormatPr defaultColWidth="11" defaultRowHeight="13.8" x14ac:dyDescent="0.3"/>
  <cols>
    <col min="1" max="1" width="18.21875" style="2" customWidth="1"/>
    <col min="2" max="2" width="13.6640625" style="2" customWidth="1"/>
    <col min="3" max="3" width="13.88671875" style="2" customWidth="1"/>
    <col min="4" max="4" width="14.109375" style="2" customWidth="1"/>
    <col min="5" max="5" width="14" style="2" customWidth="1"/>
    <col min="6" max="6" width="14.77734375" style="2" customWidth="1"/>
    <col min="7" max="16384" width="11" style="2"/>
  </cols>
  <sheetData>
    <row r="1" spans="1:14" ht="21" x14ac:dyDescent="0.4">
      <c r="A1" s="32" t="s">
        <v>98</v>
      </c>
      <c r="B1" s="64" t="s">
        <v>172</v>
      </c>
      <c r="C1" s="64"/>
      <c r="D1" s="64"/>
      <c r="E1" s="64"/>
      <c r="F1" s="64"/>
      <c r="G1" s="64"/>
      <c r="H1" s="64"/>
      <c r="I1" s="64"/>
      <c r="J1" s="64"/>
      <c r="K1" s="64"/>
      <c r="L1" s="64"/>
    </row>
    <row r="3" spans="1:14" ht="14.4" x14ac:dyDescent="0.3">
      <c r="B3" s="1" t="s">
        <v>149</v>
      </c>
    </row>
    <row r="4" spans="1:14" ht="18" x14ac:dyDescent="0.35">
      <c r="A4" s="33" t="s">
        <v>53</v>
      </c>
      <c r="B4" s="1"/>
      <c r="C4" s="53" t="s">
        <v>194</v>
      </c>
      <c r="D4" s="53"/>
      <c r="E4" s="53"/>
      <c r="F4" s="53"/>
      <c r="G4" s="53"/>
      <c r="H4" s="53"/>
      <c r="I4" s="53"/>
      <c r="J4" s="53"/>
      <c r="K4" s="53"/>
      <c r="L4" s="53"/>
    </row>
    <row r="5" spans="1:14" ht="18" x14ac:dyDescent="0.35">
      <c r="A5" s="33" t="s">
        <v>151</v>
      </c>
      <c r="B5" s="53" t="s">
        <v>193</v>
      </c>
    </row>
    <row r="6" spans="1:14" ht="14.4" x14ac:dyDescent="0.3">
      <c r="A6" s="3"/>
      <c r="B6" s="1"/>
    </row>
    <row r="8" spans="1:14" ht="23.4" x14ac:dyDescent="0.45">
      <c r="A8" s="14" t="s">
        <v>160</v>
      </c>
      <c r="M8" s="14" t="s">
        <v>161</v>
      </c>
    </row>
    <row r="9" spans="1:14" ht="14.4" x14ac:dyDescent="0.3">
      <c r="A9" s="21"/>
      <c r="B9" s="21" t="s">
        <v>89</v>
      </c>
      <c r="C9" s="21" t="s">
        <v>90</v>
      </c>
      <c r="D9" s="21" t="s">
        <v>91</v>
      </c>
      <c r="E9" s="21" t="s">
        <v>92</v>
      </c>
      <c r="F9" s="21" t="s">
        <v>93</v>
      </c>
      <c r="G9" s="21" t="s">
        <v>94</v>
      </c>
      <c r="H9" s="21" t="s">
        <v>95</v>
      </c>
      <c r="I9" s="21" t="s">
        <v>96</v>
      </c>
      <c r="J9" s="21" t="s">
        <v>97</v>
      </c>
      <c r="M9" s="15" t="s">
        <v>43</v>
      </c>
      <c r="N9" s="15" t="s">
        <v>99</v>
      </c>
    </row>
    <row r="10" spans="1:14" ht="14.4" x14ac:dyDescent="0.3">
      <c r="A10" s="21" t="s">
        <v>89</v>
      </c>
      <c r="B10" s="20">
        <v>-1</v>
      </c>
      <c r="C10" s="20">
        <v>95</v>
      </c>
      <c r="D10" s="20">
        <v>-1</v>
      </c>
      <c r="E10" s="20">
        <v>185</v>
      </c>
      <c r="F10" s="20">
        <v>255</v>
      </c>
      <c r="G10" s="20">
        <v>305</v>
      </c>
      <c r="H10" s="20">
        <v>415</v>
      </c>
      <c r="I10" s="20">
        <v>480</v>
      </c>
      <c r="J10" s="20">
        <v>525</v>
      </c>
      <c r="M10" s="11">
        <v>10100</v>
      </c>
      <c r="N10" s="11" t="s">
        <v>89</v>
      </c>
    </row>
    <row r="11" spans="1:14" ht="14.4" x14ac:dyDescent="0.3">
      <c r="A11" s="21" t="s">
        <v>90</v>
      </c>
      <c r="B11" s="20">
        <v>95</v>
      </c>
      <c r="C11" s="20">
        <v>-1</v>
      </c>
      <c r="D11" s="20">
        <v>-1</v>
      </c>
      <c r="E11" s="20">
        <v>90</v>
      </c>
      <c r="F11" s="20">
        <v>160</v>
      </c>
      <c r="G11" s="20">
        <v>210</v>
      </c>
      <c r="H11" s="20">
        <v>325</v>
      </c>
      <c r="I11" s="20">
        <v>390</v>
      </c>
      <c r="J11" s="20">
        <v>430</v>
      </c>
      <c r="M11" s="11">
        <v>10102</v>
      </c>
      <c r="N11" s="11" t="s">
        <v>90</v>
      </c>
    </row>
    <row r="12" spans="1:14" ht="14.4" x14ac:dyDescent="0.3">
      <c r="A12" s="21" t="s">
        <v>91</v>
      </c>
      <c r="B12" s="20">
        <v>-1</v>
      </c>
      <c r="C12" s="20">
        <v>-1</v>
      </c>
      <c r="D12" s="20">
        <v>-1</v>
      </c>
      <c r="E12" s="20">
        <v>60</v>
      </c>
      <c r="F12" s="20">
        <v>130</v>
      </c>
      <c r="G12" s="20">
        <v>180</v>
      </c>
      <c r="H12" s="20">
        <v>295</v>
      </c>
      <c r="I12" s="20">
        <v>355</v>
      </c>
      <c r="J12" s="20">
        <v>400</v>
      </c>
      <c r="M12" s="11">
        <v>10104</v>
      </c>
      <c r="N12" s="11" t="s">
        <v>91</v>
      </c>
    </row>
    <row r="13" spans="1:14" ht="14.4" x14ac:dyDescent="0.3">
      <c r="A13" s="21" t="s">
        <v>92</v>
      </c>
      <c r="B13" s="20">
        <v>185</v>
      </c>
      <c r="C13" s="20">
        <v>90</v>
      </c>
      <c r="D13" s="20">
        <v>60</v>
      </c>
      <c r="E13" s="20">
        <v>-1</v>
      </c>
      <c r="F13" s="20">
        <v>70</v>
      </c>
      <c r="G13" s="20">
        <v>120</v>
      </c>
      <c r="H13" s="20">
        <v>235</v>
      </c>
      <c r="I13" s="20">
        <v>300</v>
      </c>
      <c r="J13" s="20">
        <v>340</v>
      </c>
      <c r="M13" s="11">
        <v>10106</v>
      </c>
      <c r="N13" s="11" t="s">
        <v>92</v>
      </c>
    </row>
    <row r="14" spans="1:14" ht="14.4" x14ac:dyDescent="0.3">
      <c r="A14" s="21" t="s">
        <v>93</v>
      </c>
      <c r="B14" s="20">
        <v>255</v>
      </c>
      <c r="C14" s="20">
        <v>160</v>
      </c>
      <c r="D14" s="20">
        <v>130</v>
      </c>
      <c r="E14" s="20">
        <v>70</v>
      </c>
      <c r="F14" s="20">
        <v>-1</v>
      </c>
      <c r="G14" s="20">
        <v>50</v>
      </c>
      <c r="H14" s="20">
        <v>165</v>
      </c>
      <c r="I14" s="20">
        <v>230</v>
      </c>
      <c r="J14" s="20">
        <v>270</v>
      </c>
      <c r="M14" s="11">
        <v>10108</v>
      </c>
      <c r="N14" s="11" t="s">
        <v>93</v>
      </c>
    </row>
    <row r="15" spans="1:14" ht="14.4" x14ac:dyDescent="0.3">
      <c r="A15" s="21" t="s">
        <v>94</v>
      </c>
      <c r="B15" s="20">
        <v>305</v>
      </c>
      <c r="C15" s="20">
        <v>210</v>
      </c>
      <c r="D15" s="20">
        <v>180</v>
      </c>
      <c r="E15" s="20">
        <v>120</v>
      </c>
      <c r="F15" s="20">
        <v>50</v>
      </c>
      <c r="G15" s="20">
        <v>-1</v>
      </c>
      <c r="H15" s="20">
        <v>115</v>
      </c>
      <c r="I15" s="20">
        <v>180</v>
      </c>
      <c r="J15" s="20">
        <v>220</v>
      </c>
      <c r="M15" s="11">
        <v>10110</v>
      </c>
      <c r="N15" s="11" t="s">
        <v>94</v>
      </c>
    </row>
    <row r="16" spans="1:14" ht="14.4" x14ac:dyDescent="0.3">
      <c r="A16" s="21" t="s">
        <v>95</v>
      </c>
      <c r="B16" s="20">
        <v>415</v>
      </c>
      <c r="C16" s="20">
        <v>325</v>
      </c>
      <c r="D16" s="20">
        <v>295</v>
      </c>
      <c r="E16" s="20">
        <v>235</v>
      </c>
      <c r="F16" s="20">
        <v>165</v>
      </c>
      <c r="G16" s="20">
        <v>115</v>
      </c>
      <c r="H16" s="20">
        <v>-1</v>
      </c>
      <c r="I16" s="20">
        <v>65</v>
      </c>
      <c r="J16" s="20">
        <v>105</v>
      </c>
      <c r="M16" s="11">
        <v>10112</v>
      </c>
      <c r="N16" s="11" t="s">
        <v>95</v>
      </c>
    </row>
    <row r="17" spans="1:14" ht="14.4" x14ac:dyDescent="0.3">
      <c r="A17" s="21" t="s">
        <v>96</v>
      </c>
      <c r="B17" s="20">
        <v>480</v>
      </c>
      <c r="C17" s="20">
        <v>390</v>
      </c>
      <c r="D17" s="20">
        <v>355</v>
      </c>
      <c r="E17" s="20">
        <v>300</v>
      </c>
      <c r="F17" s="20">
        <v>230</v>
      </c>
      <c r="G17" s="20">
        <v>180</v>
      </c>
      <c r="H17" s="20">
        <v>65</v>
      </c>
      <c r="I17" s="20">
        <v>-1</v>
      </c>
      <c r="J17" s="20">
        <v>40</v>
      </c>
      <c r="M17" s="11">
        <v>10114</v>
      </c>
      <c r="N17" s="11" t="s">
        <v>96</v>
      </c>
    </row>
    <row r="18" spans="1:14" ht="14.4" x14ac:dyDescent="0.3">
      <c r="A18" s="21" t="s">
        <v>97</v>
      </c>
      <c r="B18" s="20">
        <v>525</v>
      </c>
      <c r="C18" s="20">
        <v>430</v>
      </c>
      <c r="D18" s="20">
        <v>400</v>
      </c>
      <c r="E18" s="20">
        <v>340</v>
      </c>
      <c r="F18" s="20">
        <v>270</v>
      </c>
      <c r="G18" s="20">
        <v>220</v>
      </c>
      <c r="H18" s="20">
        <v>105</v>
      </c>
      <c r="I18" s="20">
        <v>40</v>
      </c>
      <c r="J18" s="20">
        <v>-1</v>
      </c>
      <c r="M18" s="12">
        <v>10116</v>
      </c>
      <c r="N18" s="12" t="s">
        <v>97</v>
      </c>
    </row>
    <row r="21" spans="1:14" ht="23.4" x14ac:dyDescent="0.45">
      <c r="A21" s="14" t="s">
        <v>165</v>
      </c>
    </row>
    <row r="22" spans="1:14" ht="14.4" x14ac:dyDescent="0.3">
      <c r="A22" s="52" t="s">
        <v>189</v>
      </c>
      <c r="B22" s="52" t="s">
        <v>190</v>
      </c>
      <c r="C22" s="42" t="s">
        <v>191</v>
      </c>
      <c r="D22" s="42" t="s">
        <v>192</v>
      </c>
      <c r="E22" s="42" t="s">
        <v>100</v>
      </c>
    </row>
    <row r="23" spans="1:14" ht="14.4" x14ac:dyDescent="0.3">
      <c r="A23" s="52" t="str">
        <f>VLOOKUP(C23,$M$10:$N$18,2,FALSE)</f>
        <v>A</v>
      </c>
      <c r="B23" s="52" t="str">
        <f>VLOOKUP(D23,$M$10:$N$18,2,FALSE)</f>
        <v>B</v>
      </c>
      <c r="C23" s="42">
        <v>10100</v>
      </c>
      <c r="D23" s="42">
        <v>10102</v>
      </c>
      <c r="E23" s="52">
        <f>VLOOKUP(B23,$A$10:$B$18,2,FALSE)</f>
        <v>95</v>
      </c>
    </row>
    <row r="24" spans="1:14" ht="14.4" x14ac:dyDescent="0.3">
      <c r="A24" s="52" t="str">
        <f t="shared" ref="A24:A35" si="0">VLOOKUP(C24,$M$10:$N$18,2,FALSE)</f>
        <v>A</v>
      </c>
      <c r="B24" s="52" t="str">
        <f t="shared" ref="B24:B35" si="1">VLOOKUP(D24,$M$10:$N$18,2,FALSE)</f>
        <v>C</v>
      </c>
      <c r="C24" s="42">
        <v>10100</v>
      </c>
      <c r="D24" s="42">
        <v>10104</v>
      </c>
      <c r="E24" s="52">
        <f t="shared" ref="E24:E35" si="2">VLOOKUP(B24,$A$10:$B$18,2,FALSE)</f>
        <v>-1</v>
      </c>
    </row>
    <row r="25" spans="1:14" ht="14.4" x14ac:dyDescent="0.3">
      <c r="A25" s="52" t="str">
        <f t="shared" si="0"/>
        <v>E</v>
      </c>
      <c r="B25" s="52" t="str">
        <f t="shared" si="1"/>
        <v>B</v>
      </c>
      <c r="C25" s="42">
        <v>10108</v>
      </c>
      <c r="D25" s="42">
        <v>10102</v>
      </c>
      <c r="E25" s="52">
        <f t="shared" si="2"/>
        <v>95</v>
      </c>
    </row>
    <row r="26" spans="1:14" ht="14.4" x14ac:dyDescent="0.3">
      <c r="A26" s="52" t="str">
        <f t="shared" si="0"/>
        <v>A</v>
      </c>
      <c r="B26" s="52" t="str">
        <f t="shared" si="1"/>
        <v>D</v>
      </c>
      <c r="C26" s="42">
        <v>10100</v>
      </c>
      <c r="D26" s="42">
        <v>10106</v>
      </c>
      <c r="E26" s="52">
        <f t="shared" si="2"/>
        <v>185</v>
      </c>
    </row>
    <row r="27" spans="1:14" ht="14.4" x14ac:dyDescent="0.3">
      <c r="A27" s="52" t="str">
        <f t="shared" si="0"/>
        <v>E</v>
      </c>
      <c r="B27" s="52" t="str">
        <f t="shared" si="1"/>
        <v>F</v>
      </c>
      <c r="C27" s="42">
        <v>10108</v>
      </c>
      <c r="D27" s="42">
        <v>10110</v>
      </c>
      <c r="E27" s="52">
        <f t="shared" si="2"/>
        <v>305</v>
      </c>
    </row>
    <row r="28" spans="1:14" ht="14.4" x14ac:dyDescent="0.3">
      <c r="A28" s="52" t="str">
        <f t="shared" si="0"/>
        <v>B</v>
      </c>
      <c r="B28" s="52" t="str">
        <f t="shared" si="1"/>
        <v>C</v>
      </c>
      <c r="C28" s="42">
        <v>10102</v>
      </c>
      <c r="D28" s="42">
        <v>10104</v>
      </c>
      <c r="E28" s="52">
        <f t="shared" si="2"/>
        <v>-1</v>
      </c>
    </row>
    <row r="29" spans="1:14" ht="14.4" x14ac:dyDescent="0.3">
      <c r="A29" s="52" t="str">
        <f t="shared" si="0"/>
        <v>D</v>
      </c>
      <c r="B29" s="52" t="str">
        <f t="shared" si="1"/>
        <v>E</v>
      </c>
      <c r="C29" s="42">
        <v>10106</v>
      </c>
      <c r="D29" s="42">
        <v>10108</v>
      </c>
      <c r="E29" s="52">
        <f t="shared" si="2"/>
        <v>255</v>
      </c>
    </row>
    <row r="30" spans="1:14" ht="14.4" x14ac:dyDescent="0.3">
      <c r="A30" s="52" t="str">
        <f t="shared" si="0"/>
        <v>B</v>
      </c>
      <c r="B30" s="52" t="str">
        <f t="shared" si="1"/>
        <v>D</v>
      </c>
      <c r="C30" s="42">
        <v>10102</v>
      </c>
      <c r="D30" s="42">
        <v>10106</v>
      </c>
      <c r="E30" s="52">
        <f t="shared" si="2"/>
        <v>185</v>
      </c>
    </row>
    <row r="31" spans="1:14" ht="14.4" x14ac:dyDescent="0.3">
      <c r="A31" s="52" t="str">
        <f t="shared" si="0"/>
        <v>F</v>
      </c>
      <c r="B31" s="52" t="str">
        <f t="shared" si="1"/>
        <v>H</v>
      </c>
      <c r="C31" s="42">
        <v>10110</v>
      </c>
      <c r="D31" s="42">
        <v>10114</v>
      </c>
      <c r="E31" s="52">
        <f t="shared" si="2"/>
        <v>480</v>
      </c>
    </row>
    <row r="32" spans="1:14" ht="14.4" x14ac:dyDescent="0.3">
      <c r="A32" s="52" t="str">
        <f t="shared" si="0"/>
        <v>C</v>
      </c>
      <c r="B32" s="52" t="str">
        <f t="shared" si="1"/>
        <v>D</v>
      </c>
      <c r="C32" s="42">
        <v>10104</v>
      </c>
      <c r="D32" s="42">
        <v>10106</v>
      </c>
      <c r="E32" s="52">
        <f t="shared" si="2"/>
        <v>185</v>
      </c>
    </row>
    <row r="33" spans="1:5" ht="14.4" x14ac:dyDescent="0.3">
      <c r="A33" s="52" t="str">
        <f t="shared" si="0"/>
        <v>F</v>
      </c>
      <c r="B33" s="52" t="str">
        <f t="shared" si="1"/>
        <v>G</v>
      </c>
      <c r="C33" s="42">
        <v>10110</v>
      </c>
      <c r="D33" s="42">
        <v>10112</v>
      </c>
      <c r="E33" s="52">
        <f t="shared" si="2"/>
        <v>415</v>
      </c>
    </row>
    <row r="34" spans="1:5" ht="14.4" x14ac:dyDescent="0.3">
      <c r="A34" s="52" t="str">
        <f t="shared" si="0"/>
        <v>A</v>
      </c>
      <c r="B34" s="52" t="str">
        <f t="shared" si="1"/>
        <v>H</v>
      </c>
      <c r="C34" s="42">
        <v>10100</v>
      </c>
      <c r="D34" s="42">
        <v>10114</v>
      </c>
      <c r="E34" s="52">
        <f t="shared" si="2"/>
        <v>480</v>
      </c>
    </row>
    <row r="35" spans="1:5" ht="14.4" x14ac:dyDescent="0.3">
      <c r="A35" s="52" t="str">
        <f t="shared" si="0"/>
        <v>G</v>
      </c>
      <c r="B35" s="52" t="str">
        <f t="shared" si="1"/>
        <v>I</v>
      </c>
      <c r="C35" s="42">
        <v>10112</v>
      </c>
      <c r="D35" s="42">
        <v>10116</v>
      </c>
      <c r="E35" s="52">
        <f t="shared" si="2"/>
        <v>525</v>
      </c>
    </row>
  </sheetData>
  <mergeCells count="1">
    <mergeCell ref="B1:L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Pivot Table</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Shubham Patel</cp:lastModifiedBy>
  <dcterms:created xsi:type="dcterms:W3CDTF">2015-02-10T17:33:11Z</dcterms:created>
  <dcterms:modified xsi:type="dcterms:W3CDTF">2024-10-24T15:28:04Z</dcterms:modified>
</cp:coreProperties>
</file>